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https://bibaac-my.sharepoint.com/personal/pitcha_sa_baac_or_th/Documents/ป.2 หน่วย/"/>
    </mc:Choice>
  </mc:AlternateContent>
  <xr:revisionPtr revIDLastSave="5" documentId="11_697A318C8CF60C2AC8F88D512842F733B3DB60FB" xr6:coauthVersionLast="47" xr6:coauthVersionMax="47" xr10:uidLastSave="{1B53CF96-33E4-414B-B747-E851E215DC5E}"/>
  <bookViews>
    <workbookView xWindow="12920" yWindow="660" windowWidth="15420" windowHeight="18460" xr2:uid="{00000000-000D-0000-FFFF-FFFF00000000}"/>
  </bookViews>
  <sheets>
    <sheet name="Dashboard" sheetId="7" r:id="rId1"/>
    <sheet name="ภิชฌา" sheetId="1" r:id="rId2"/>
    <sheet name="พรพงศ์" sheetId="3" r:id="rId3"/>
    <sheet name="พิราวรรณ" sheetId="2" r:id="rId4"/>
    <sheet name="ผลงานรวมทีม" sheetId="4" r:id="rId5"/>
    <sheet name="ผลงานรายเขต" sheetId="5" r:id="rId6"/>
  </sheets>
  <definedNames>
    <definedName name="_xlnm.Print_Titles" localSheetId="2">พรพงศ์!$16:$17</definedName>
    <definedName name="_xlnm.Print_Titles" localSheetId="3">พิราวรรณ!$16:$17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2" l="1"/>
  <c r="N40" i="3"/>
  <c r="Q54" i="1"/>
  <c r="O54" i="1"/>
  <c r="N51" i="2"/>
  <c r="N50" i="2"/>
  <c r="Q50" i="2"/>
  <c r="O50" i="2"/>
  <c r="Q73" i="3"/>
  <c r="Q72" i="3"/>
  <c r="O72" i="3"/>
  <c r="O73" i="3"/>
  <c r="N67" i="3"/>
  <c r="N66" i="3"/>
  <c r="Q66" i="3" s="1"/>
  <c r="O66" i="3" s="1"/>
  <c r="N65" i="3"/>
  <c r="Q65" i="3"/>
  <c r="O65" i="3"/>
  <c r="N64" i="3"/>
  <c r="Q64" i="3"/>
  <c r="O64" i="3"/>
  <c r="N63" i="3"/>
  <c r="Q63" i="3"/>
  <c r="O63" i="3"/>
  <c r="N62" i="3"/>
  <c r="Q62" i="3"/>
  <c r="O62" i="3"/>
  <c r="N61" i="3"/>
  <c r="Q61" i="3"/>
  <c r="O61" i="3"/>
  <c r="N60" i="3"/>
  <c r="Q60" i="3"/>
  <c r="O60" i="3"/>
  <c r="N59" i="3"/>
  <c r="Q59" i="3"/>
  <c r="O59" i="3"/>
  <c r="N58" i="3"/>
  <c r="Q58" i="3"/>
  <c r="O58" i="3"/>
  <c r="N57" i="3"/>
  <c r="Q57" i="3"/>
  <c r="O57" i="3" s="1"/>
  <c r="N56" i="3"/>
  <c r="Q56" i="3"/>
  <c r="O56" i="3"/>
  <c r="N55" i="3"/>
  <c r="Q55" i="3"/>
  <c r="O55" i="3"/>
  <c r="N54" i="3"/>
  <c r="Q54" i="3"/>
  <c r="O54" i="3"/>
  <c r="N53" i="3"/>
  <c r="Q53" i="3"/>
  <c r="O53" i="3"/>
  <c r="N51" i="3"/>
  <c r="Q51" i="3"/>
  <c r="O51" i="3"/>
  <c r="N50" i="3"/>
  <c r="Q50" i="3"/>
  <c r="O50" i="3"/>
  <c r="N49" i="3"/>
  <c r="Q49" i="3"/>
  <c r="O49" i="3"/>
  <c r="N48" i="3"/>
  <c r="Q48" i="3"/>
  <c r="O48" i="3"/>
  <c r="N47" i="3"/>
  <c r="Q47" i="3"/>
  <c r="O47" i="3"/>
  <c r="N46" i="3"/>
  <c r="N45" i="3"/>
  <c r="N44" i="3"/>
  <c r="N43" i="3"/>
  <c r="N42" i="3"/>
  <c r="Q42" i="3"/>
  <c r="O42" i="3"/>
  <c r="N67" i="2"/>
  <c r="N66" i="2"/>
  <c r="Q66" i="2" s="1"/>
  <c r="N65" i="2"/>
  <c r="Q65" i="2"/>
  <c r="O65" i="2"/>
  <c r="N64" i="2"/>
  <c r="Q64" i="2"/>
  <c r="O64" i="2"/>
  <c r="N63" i="2"/>
  <c r="Q63" i="2"/>
  <c r="O63" i="2"/>
  <c r="N62" i="2"/>
  <c r="Q62" i="2"/>
  <c r="O62" i="2"/>
  <c r="N61" i="2"/>
  <c r="Q61" i="2"/>
  <c r="O61" i="2"/>
  <c r="N60" i="2"/>
  <c r="Q60" i="2"/>
  <c r="O60" i="2"/>
  <c r="N59" i="2"/>
  <c r="Q59" i="2"/>
  <c r="O59" i="2"/>
  <c r="N58" i="2"/>
  <c r="Q58" i="2"/>
  <c r="O58" i="2"/>
  <c r="N57" i="2"/>
  <c r="Q57" i="2"/>
  <c r="O57" i="2"/>
  <c r="N56" i="2"/>
  <c r="Q56" i="2"/>
  <c r="O56" i="2"/>
  <c r="N55" i="2"/>
  <c r="Q55" i="2"/>
  <c r="O55" i="2"/>
  <c r="N54" i="2"/>
  <c r="Q54" i="2"/>
  <c r="O54" i="2"/>
  <c r="N53" i="2"/>
  <c r="Q53" i="2"/>
  <c r="O53" i="2"/>
  <c r="N49" i="2"/>
  <c r="Q49" i="2"/>
  <c r="O49" i="2"/>
  <c r="N48" i="2"/>
  <c r="Q48" i="2"/>
  <c r="O48" i="2"/>
  <c r="N47" i="2"/>
  <c r="N46" i="2"/>
  <c r="Q46" i="2"/>
  <c r="O46" i="2"/>
  <c r="N45" i="2"/>
  <c r="N44" i="2"/>
  <c r="N43" i="2"/>
  <c r="N42" i="2"/>
  <c r="Q42" i="2"/>
  <c r="O42" i="2"/>
  <c r="Q73" i="2"/>
  <c r="O73" i="2"/>
  <c r="Q72" i="2"/>
  <c r="O72" i="2"/>
  <c r="Q67" i="2"/>
  <c r="O67" i="2" s="1"/>
  <c r="N68" i="2"/>
  <c r="Q68" i="2" s="1"/>
  <c r="N50" i="1"/>
  <c r="Q50" i="1" s="1"/>
  <c r="O50" i="1" s="1"/>
  <c r="N49" i="1"/>
  <c r="N48" i="1"/>
  <c r="Q48" i="1" s="1"/>
  <c r="N47" i="1"/>
  <c r="N46" i="1"/>
  <c r="N45" i="1"/>
  <c r="N44" i="1"/>
  <c r="N43" i="1"/>
  <c r="N42" i="1"/>
  <c r="N41" i="1"/>
  <c r="N39" i="1"/>
  <c r="N38" i="1"/>
  <c r="N37" i="1"/>
  <c r="N36" i="1"/>
  <c r="N35" i="1"/>
  <c r="N34" i="1"/>
  <c r="N31" i="1"/>
  <c r="N30" i="1"/>
  <c r="N29" i="1"/>
  <c r="N28" i="1"/>
  <c r="N27" i="1"/>
  <c r="N24" i="1"/>
  <c r="N23" i="1"/>
  <c r="N21" i="1"/>
  <c r="N20" i="1"/>
  <c r="N19" i="1"/>
  <c r="N68" i="3"/>
  <c r="Q68" i="3" s="1"/>
  <c r="O68" i="3" s="1"/>
  <c r="N39" i="3"/>
  <c r="N38" i="3"/>
  <c r="N37" i="3"/>
  <c r="N36" i="3"/>
  <c r="Q36" i="3"/>
  <c r="O36" i="3"/>
  <c r="N35" i="3"/>
  <c r="Q35" i="3"/>
  <c r="O35" i="3"/>
  <c r="N34" i="3"/>
  <c r="N33" i="3"/>
  <c r="N32" i="3"/>
  <c r="N31" i="3"/>
  <c r="N30" i="3"/>
  <c r="N29" i="3"/>
  <c r="N26" i="3"/>
  <c r="N25" i="3"/>
  <c r="N23" i="3"/>
  <c r="N22" i="3"/>
  <c r="N21" i="3"/>
  <c r="N20" i="3"/>
  <c r="N19" i="3"/>
  <c r="Q19" i="3"/>
  <c r="O19" i="3" s="1"/>
  <c r="N39" i="2"/>
  <c r="N38" i="2"/>
  <c r="N37" i="2"/>
  <c r="N36" i="2"/>
  <c r="N35" i="2"/>
  <c r="N34" i="2"/>
  <c r="N33" i="2"/>
  <c r="N32" i="2"/>
  <c r="N31" i="2"/>
  <c r="N30" i="2"/>
  <c r="N29" i="2"/>
  <c r="N26" i="2"/>
  <c r="N25" i="2"/>
  <c r="N23" i="2"/>
  <c r="N22" i="2"/>
  <c r="N21" i="2"/>
  <c r="N20" i="2"/>
  <c r="N19" i="2"/>
  <c r="Q19" i="2"/>
  <c r="O19" i="2"/>
  <c r="Q26" i="2"/>
  <c r="O26" i="2" s="1"/>
  <c r="Q23" i="3"/>
  <c r="O23" i="3" s="1"/>
  <c r="Q39" i="2"/>
  <c r="O39" i="2" s="1"/>
  <c r="C83" i="3"/>
  <c r="B83" i="3"/>
  <c r="G82" i="3"/>
  <c r="D82" i="3"/>
  <c r="B82" i="3"/>
  <c r="Q74" i="3"/>
  <c r="G74" i="3"/>
  <c r="Q71" i="3"/>
  <c r="O71" i="3"/>
  <c r="Q70" i="3"/>
  <c r="Q69" i="3"/>
  <c r="Q67" i="3"/>
  <c r="O67" i="3"/>
  <c r="Q52" i="3"/>
  <c r="Q46" i="3"/>
  <c r="O46" i="3" s="1"/>
  <c r="Q45" i="3"/>
  <c r="O45" i="3" s="1"/>
  <c r="Q44" i="3"/>
  <c r="O44" i="3" s="1"/>
  <c r="Q43" i="3"/>
  <c r="O43" i="3"/>
  <c r="Q41" i="3"/>
  <c r="Q40" i="3"/>
  <c r="O40" i="3"/>
  <c r="Q39" i="3"/>
  <c r="O39" i="3"/>
  <c r="Q38" i="3"/>
  <c r="O38" i="3"/>
  <c r="Q37" i="3"/>
  <c r="O37" i="3"/>
  <c r="Q34" i="3"/>
  <c r="O34" i="3"/>
  <c r="Q33" i="3"/>
  <c r="O33" i="3"/>
  <c r="Q32" i="3"/>
  <c r="O32" i="3"/>
  <c r="Q31" i="3"/>
  <c r="O31" i="3" s="1"/>
  <c r="Q30" i="3"/>
  <c r="O30" i="3"/>
  <c r="Q29" i="3"/>
  <c r="O29" i="3"/>
  <c r="Q28" i="3"/>
  <c r="Q27" i="3"/>
  <c r="Q26" i="3"/>
  <c r="O26" i="3"/>
  <c r="Q25" i="3"/>
  <c r="O25" i="3"/>
  <c r="Q24" i="3"/>
  <c r="Q22" i="3"/>
  <c r="O22" i="3"/>
  <c r="Q21" i="3"/>
  <c r="O21" i="3"/>
  <c r="Q20" i="3"/>
  <c r="O20" i="3"/>
  <c r="C83" i="2"/>
  <c r="B83" i="2"/>
  <c r="G82" i="2"/>
  <c r="D82" i="2"/>
  <c r="B82" i="2"/>
  <c r="Q74" i="2"/>
  <c r="G74" i="2"/>
  <c r="Q71" i="2"/>
  <c r="O71" i="2"/>
  <c r="Q70" i="2"/>
  <c r="Q69" i="2"/>
  <c r="Q52" i="2"/>
  <c r="Q51" i="2"/>
  <c r="O51" i="2"/>
  <c r="Q47" i="2"/>
  <c r="O47" i="2"/>
  <c r="Q45" i="2"/>
  <c r="O45" i="2"/>
  <c r="Q44" i="2"/>
  <c r="O44" i="2" s="1"/>
  <c r="Q43" i="2"/>
  <c r="O43" i="2"/>
  <c r="Q41" i="2"/>
  <c r="Q40" i="2"/>
  <c r="O40" i="2"/>
  <c r="Q38" i="2"/>
  <c r="O38" i="2"/>
  <c r="Q37" i="2"/>
  <c r="O37" i="2"/>
  <c r="Q36" i="2"/>
  <c r="O36" i="2"/>
  <c r="Q35" i="2"/>
  <c r="O35" i="2"/>
  <c r="Q34" i="2"/>
  <c r="O34" i="2"/>
  <c r="Q33" i="2"/>
  <c r="O33" i="2"/>
  <c r="Q32" i="2"/>
  <c r="O32" i="2"/>
  <c r="Q31" i="2"/>
  <c r="O31" i="2"/>
  <c r="Q30" i="2"/>
  <c r="O30" i="2" s="1"/>
  <c r="Q29" i="2"/>
  <c r="O29" i="2"/>
  <c r="Q28" i="2"/>
  <c r="Q27" i="2"/>
  <c r="Q25" i="2"/>
  <c r="O25" i="2" s="1"/>
  <c r="Q24" i="2"/>
  <c r="Q23" i="2"/>
  <c r="O23" i="2" s="1"/>
  <c r="O75" i="2" s="1"/>
  <c r="C6" i="7" s="1"/>
  <c r="Q22" i="2"/>
  <c r="O22" i="2"/>
  <c r="Q21" i="2"/>
  <c r="O21" i="2"/>
  <c r="Q20" i="2"/>
  <c r="O20" i="2"/>
  <c r="Q55" i="1"/>
  <c r="O55" i="1" s="1"/>
  <c r="O66" i="2"/>
  <c r="O68" i="2"/>
  <c r="C65" i="1"/>
  <c r="B65" i="1"/>
  <c r="G64" i="1"/>
  <c r="D64" i="1"/>
  <c r="B64" i="1"/>
  <c r="Q56" i="1"/>
  <c r="G56" i="1"/>
  <c r="Q53" i="1"/>
  <c r="O53" i="1"/>
  <c r="Q52" i="1"/>
  <c r="Q51" i="1"/>
  <c r="Q49" i="1"/>
  <c r="O49" i="1"/>
  <c r="O48" i="1"/>
  <c r="Q47" i="1"/>
  <c r="O47" i="1"/>
  <c r="Q46" i="1"/>
  <c r="O46" i="1"/>
  <c r="Q45" i="1"/>
  <c r="O45" i="1"/>
  <c r="Q44" i="1"/>
  <c r="O44" i="1"/>
  <c r="Q43" i="1"/>
  <c r="O43" i="1" s="1"/>
  <c r="Q42" i="1"/>
  <c r="O42" i="1" s="1"/>
  <c r="Q41" i="1"/>
  <c r="O41" i="1"/>
  <c r="Q40" i="1"/>
  <c r="Q39" i="1"/>
  <c r="O39" i="1"/>
  <c r="Q38" i="1"/>
  <c r="O38" i="1"/>
  <c r="Q37" i="1"/>
  <c r="O37" i="1"/>
  <c r="Q36" i="1"/>
  <c r="O36" i="1"/>
  <c r="Q35" i="1"/>
  <c r="O35" i="1"/>
  <c r="Q34" i="1"/>
  <c r="O34" i="1"/>
  <c r="Q33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Q25" i="1"/>
  <c r="Q24" i="1"/>
  <c r="O24" i="1"/>
  <c r="Q23" i="1"/>
  <c r="O23" i="1"/>
  <c r="Q22" i="1"/>
  <c r="Q21" i="1"/>
  <c r="O21" i="1"/>
  <c r="Q20" i="1"/>
  <c r="O20" i="1"/>
  <c r="Q19" i="1"/>
  <c r="O19" i="1"/>
  <c r="O75" i="3" l="1"/>
  <c r="C5" i="7" s="1"/>
  <c r="O57" i="1"/>
  <c r="C4" i="7" s="1"/>
</calcChain>
</file>

<file path=xl/sharedStrings.xml><?xml version="1.0" encoding="utf-8"?>
<sst xmlns="http://schemas.openxmlformats.org/spreadsheetml/2006/main" count="1041" uniqueCount="273">
  <si>
    <t>สรุปผลการดำเนินงาน (Performance)  สาขาลำพญากลาง  ปีบัญชี 2568</t>
  </si>
  <si>
    <t>ชื่อ - นามสกุล</t>
  </si>
  <si>
    <t>ตำแหน่ง</t>
  </si>
  <si>
    <t>คะแนน Performance</t>
  </si>
  <si>
    <t>หมายเหตุ</t>
  </si>
  <si>
    <t>สถานะ</t>
  </si>
  <si>
    <t>นายภิชฌา  ไทรทอง</t>
  </si>
  <si>
    <t>หัวหน้าหน่วยอำเภอ</t>
  </si>
  <si>
    <t>นายพรพงศ์  สุวรรณวกุล</t>
  </si>
  <si>
    <t>พนักงานพัฒนาธุรกิจ 7</t>
  </si>
  <si>
    <t>นางพิราวรรณ  สุวรรณนิตย์กุล</t>
  </si>
  <si>
    <t>พนักงานพัฒนาธุรกิจ 6</t>
  </si>
  <si>
    <t xml:space="preserve">บันทึกข้อตกลงประเมินผลการปฏิบัติงานพนักงานรายคน ระดับ 1 - 9 </t>
  </si>
  <si>
    <t>ปีบัญชี 2568</t>
  </si>
  <si>
    <t xml:space="preserve">ชื่อ - นามสกุล : </t>
  </si>
  <si>
    <t>นายภิชฌา ไทรทอง</t>
  </si>
  <si>
    <t>รหัสพนักงาน :</t>
  </si>
  <si>
    <t>พนักงาน</t>
  </si>
  <si>
    <t>ผู้บังคับบัญชาเบื้องต้น</t>
  </si>
  <si>
    <t>ผู้บังคับบัญชาถัดไป</t>
  </si>
  <si>
    <t>ตำแหน่ง :</t>
  </si>
  <si>
    <t>สังกัดกลุ่มงาน :</t>
  </si>
  <si>
    <t>สาขา :</t>
  </si>
  <si>
    <t>ลำพญากลาง</t>
  </si>
  <si>
    <t xml:space="preserve">สนจ. : </t>
  </si>
  <si>
    <t>สระบุรี</t>
  </si>
  <si>
    <t>(นายภิชฌา ไทรทอง)</t>
  </si>
  <si>
    <t>(นางสาวลลิตา  จีนไม้)</t>
  </si>
  <si>
    <t>(นางสาวใกล้รุ่ง  หวังกั้นกลาง)</t>
  </si>
  <si>
    <t>………………./………………./………………..</t>
  </si>
  <si>
    <t>หัวข้อประเมิน</t>
  </si>
  <si>
    <t>น้ำหนักคะแนน</t>
  </si>
  <si>
    <t>คะแนนประเมิน</t>
  </si>
  <si>
    <t>คะแนนเฉลี่ย</t>
  </si>
  <si>
    <t>ครั้งที่ 1</t>
  </si>
  <si>
    <t>ครั้งที่ 2</t>
  </si>
  <si>
    <t>1. ขีดความสามารถ (Competency)</t>
  </si>
  <si>
    <t>2. การพัฒนาตนเอง (Self Development)</t>
  </si>
  <si>
    <t>XX</t>
  </si>
  <si>
    <t>3. ผลการดำเนินงาน (Performance) น้ำหนักคะแนน 70 คะแนน</t>
  </si>
  <si>
    <t>แผนงาน</t>
  </si>
  <si>
    <t>สนับสนุนยุทธศาสตร์</t>
  </si>
  <si>
    <t>ประเภท</t>
  </si>
  <si>
    <t>ตัวชี้วัด</t>
  </si>
  <si>
    <t>น้ำหนัก</t>
  </si>
  <si>
    <t>เป้าหมาย</t>
  </si>
  <si>
    <t>ค่าคะแนน</t>
  </si>
  <si>
    <t>ผลงานจริง</t>
  </si>
  <si>
    <t>คะแนนที่ได้</t>
  </si>
  <si>
    <t>ยุทธศาสตร์</t>
  </si>
  <si>
    <t>ทีม</t>
  </si>
  <si>
    <t>บุคคล</t>
  </si>
  <si>
    <t>คะแนน</t>
  </si>
  <si>
    <t>4*</t>
  </si>
  <si>
    <t>5**</t>
  </si>
  <si>
    <t>งานสนับสนุนยุทธศาสตร์องค์กร / นโยบายสำคัญ</t>
  </si>
  <si>
    <t>XXX</t>
  </si>
  <si>
    <t>1. รายได้FBI หมวด 1 –5 และสงเคราะห์ชีวิต</t>
  </si>
  <si>
    <r>
      <t xml:space="preserve"> </t>
    </r>
    <r>
      <rPr>
        <sz val="16"/>
        <color theme="1"/>
        <rFont val="Wingdings 2"/>
        <family val="1"/>
        <charset val="2"/>
      </rPr>
      <t>P</t>
    </r>
  </si>
  <si>
    <t>ล้านบาท</t>
  </si>
  <si>
    <t>**</t>
  </si>
  <si>
    <t>2. การอนุมัติสินเชื่อใหม่ลูกค้าบุคคลธรรมดาและเกษตรกร (S2)</t>
  </si>
  <si>
    <t>P</t>
  </si>
  <si>
    <t>ราย</t>
  </si>
  <si>
    <t>3. โครงการพัฒนาทายาททดแทน</t>
  </si>
  <si>
    <t>4. Loan Growth</t>
  </si>
  <si>
    <t xml:space="preserve">   4.1 การเติบโตสินเชื่อกลุ่มผลิตภัณฑ์ Secure Loan</t>
  </si>
  <si>
    <t xml:space="preserve">   4.2 การเติบโตสินเชื่อ</t>
  </si>
  <si>
    <t>งานตามภารกิจ (Job / Routine)</t>
  </si>
  <si>
    <t>5. อัตรารับชำระหนี้ เดือน เม.ย. 68 - มี.ค. 69 ณ.สิ้นเดือนที่ถึงกำหนดชำระ</t>
  </si>
  <si>
    <t xml:space="preserve">   5.1 อัตรารับชำระหนี้ถึงกำหนดเดือน ต.ค. 2568  ณ.31 ต.ค.2568</t>
  </si>
  <si>
    <t>ร้อยละ</t>
  </si>
  <si>
    <t xml:space="preserve">   5.2 อัตรารับชำระหนี้ถึงกำหนดเดือน พ.ย. 2568  ณ.30 พ.ย.2568</t>
  </si>
  <si>
    <t xml:space="preserve">   5.3 อัตรารับชำระหนี้ถึงกำหนดเดือน ธ.ค. 2568  ณ.31 ธ.ค.2568</t>
  </si>
  <si>
    <t xml:space="preserve">   5.4 อัตรารับชำระหนี้ถึงกำหนดเดือน ม.ค. 2569  ณ.31 ม.ค.2569</t>
  </si>
  <si>
    <t xml:space="preserve">   5.5 อัตรารับชำระหนี้ถึงกำหนดเดือน ก.พ. 2569  ณ.28 ก.พ.2569</t>
  </si>
  <si>
    <t xml:space="preserve">   5.6 อัตรารับชำระหนี้ถึงกำหนดเดือน มี.ค. 2569  ณ.31 มี.ค.2569</t>
  </si>
  <si>
    <t>6. อัตรารับชำระหนี้ (สำรอง 1%) เดือน เม.ย. 68 -  ม.ค. 69 ณ.สิ้นเดือนที่ 2 นับถัดจากเดือนที่ถึงกำหนดชำระ</t>
  </si>
  <si>
    <t xml:space="preserve">   6.1 อัตรารับชำระหนี้ถึงกำหนดเดือน ส.ค. 2568  ณ.31 ต.ค.2568</t>
  </si>
  <si>
    <t xml:space="preserve">   6.2 อัตรารับชำระหนี้ถึงกำหนดเดือน ก.ย. 2568  ณ.30 พ.ย.2568</t>
  </si>
  <si>
    <t xml:space="preserve">   6.3 อัตรารับชำระหนี้ถึงกำหนดเดือน ต.ค. 2568  ณ.31 ธ.ค.2568</t>
  </si>
  <si>
    <t xml:space="preserve">   6.4 อัตรารับชำระหนี้ถึงกำหนดเดือน พ.ย. 2568  ณ.31 ม.ค.2569</t>
  </si>
  <si>
    <t xml:space="preserve">   6.5 อัตรารับชำระหนี้ถึงกำหนดเดือน ธ.ค. 2568  ณ.28 ก.พ.2569</t>
  </si>
  <si>
    <t xml:space="preserve">   6.6 อัตรารับชำระหนี้ถึงกำหนดเดือน ม.ค. 2569  ณ.31 มี.ค.2569</t>
  </si>
  <si>
    <t>7. อัตรารับชำระหนี้ เดือน ม.ค. 68 - ธ.ค. 68 ณ.สิ้นเดือนที่ 3 นับถัดจากเดือนที่ถึงกำหนดชำระ</t>
  </si>
  <si>
    <t xml:space="preserve">   7.1 อัตรารับชำระหนี้ถึงกำหนดเดือน ก.ค. 2568  ณ.31 ต.ค.2568</t>
  </si>
  <si>
    <t xml:space="preserve">   7.2 อัตรารับชำระหนี้ถึงกำหนดเดือน ส.ค. 2568  ณ.30 พ.ย.2568</t>
  </si>
  <si>
    <t xml:space="preserve">   7.3 อัตรารับชำระหนี้ถึงกำหนดเดือน ก.ย. 2568  ณ.31 ธ.ค.2568</t>
  </si>
  <si>
    <t xml:space="preserve">   7.4 อัตรารับชำระหนี้ถึงกำหนดเดือน ต.ค. 2568  ณ.31 ม.ค.2569</t>
  </si>
  <si>
    <t xml:space="preserve">   7.5 อัตรารับชำระหนี้ถึงกำหนดเดือน พ.ย. 2568  ณ.28 ก.พ.2569</t>
  </si>
  <si>
    <t xml:space="preserve">   7.6 อัตรารับชำระหนี้ถึงกำหนดเดือน ธ.ค. 2568  ณ.31 มี.ค.2569</t>
  </si>
  <si>
    <t>8. อัตราการรับชำระสัญญาที่มีดอกเบี้ยค้างชำระกิน 15 เดือนเป็นเงินสด</t>
  </si>
  <si>
    <t>9. ดอกเบี้ยค้างรับที่รับรู้รายได้เกณฑ์เงินสด (NA)</t>
  </si>
  <si>
    <t>10. ดอกเบี้ยค้างรับที่รับรู้รายได้เกณฑ์คงค้าง (AA)</t>
  </si>
  <si>
    <t>11. ควบคุมหนี้ค้างชำระเกิน 3 เดือน (Gross NPL) สิ้นปี</t>
  </si>
  <si>
    <t>งานอื่นๆ</t>
  </si>
  <si>
    <t xml:space="preserve">1. การบันทึกผลการรับรู้การสื่อสาร Market conduct </t>
  </si>
  <si>
    <t>ครั้ง</t>
  </si>
  <si>
    <t>2. จำนวนเรื่องที่ไม่ปฏิบัติตามหลักเกณฑ์ Market conduct ในระบบ VOC</t>
  </si>
  <si>
    <t>การปฏิบัติตามคำสั่งการ/การบริการ/การสื่อสาร/ความมีน้ำใจ</t>
  </si>
  <si>
    <t>รวมคะแนน ผลการดำเนินงาน (Performance)</t>
  </si>
  <si>
    <t>4. รวมคะแนน (Competency + Self Development + Performance) คะแนนเต็ม 100 คะแนน</t>
  </si>
  <si>
    <t>* ค่าคะแนนที่บรรลุเป้าหมายตามกำหนด</t>
  </si>
  <si>
    <t>** ค่าคะแนนที่บรรลุผลสำเร็จเกินกว่าเป้าหมายที่กำหนด</t>
  </si>
  <si>
    <t>รายงานผลการประเมินผลด้านการพัฒนารายบุคคล (น้ำหนักคะแนน 10 คะแนน)</t>
  </si>
  <si>
    <t>ชื่อ - สกุล</t>
  </si>
  <si>
    <t>รหัสพนักงาน</t>
  </si>
  <si>
    <t>กลุ่มงาน / สาขา</t>
  </si>
  <si>
    <t xml:space="preserve"> </t>
  </si>
  <si>
    <t>วิธีการพัฒนา</t>
  </si>
  <si>
    <t>1.  การพัฒนาโดยการเรียนรู้ผ่านระบบ E-Learning ของธนาคาร 3 หัวข้อวิชา</t>
  </si>
  <si>
    <t>ผ่านการทดสอบความรู้ร้อยละ 80</t>
  </si>
  <si>
    <t>ผ่านเกณฑ์ภายใน</t>
  </si>
  <si>
    <t>2.  การพัฒนาภายใต้โครงการส่งเสริมการเรียนรู้ของส่วนงาน ประจำปีบัญชี 2568</t>
  </si>
  <si>
    <t>1 หัวข้อวิชา</t>
  </si>
  <si>
    <t>รวมคะแนน</t>
  </si>
  <si>
    <t>นายพรพงศ์ สุวรรณวกุล</t>
  </si>
  <si>
    <t>หัวหน้าส่วนงาน/Cluster</t>
  </si>
  <si>
    <t>หน่วยอำเภอ</t>
  </si>
  <si>
    <t>(นายพรพงศ์ สุวรรณวกุล)</t>
  </si>
  <si>
    <t>2. โครงการสนับสนุนสินเชื่อ ESG ทั้งอุตสาหกรรมสีเขียวและสีน้ำเงิน</t>
  </si>
  <si>
    <t>3. โครงการเพิ่มฐานลูกค้าสินเชื่อเกษตรกรกลุ่มใหม่</t>
  </si>
  <si>
    <t>4. การอนุมัติสินเชื่อใหม่ลูกค้าบุคคลธรรมดาและเกษตรกร (S2)</t>
  </si>
  <si>
    <t>5. โครงการพัฒนาทายาททดแทน</t>
  </si>
  <si>
    <t>6. Loan Growth</t>
  </si>
  <si>
    <t xml:space="preserve">   6.1 การเติบโตสินเชื่อกลุ่มผลิตภัณฑ์ Secure Loan</t>
  </si>
  <si>
    <t xml:space="preserve">   6.2 การเติบโตสินเชื่อ</t>
  </si>
  <si>
    <t>7. อัตรารับชำระหนี้ เดือน เม.ย. 68 - มี.ค. 69 ณ.สิ้นเดือนที่ถึงกำหนดชำระ</t>
  </si>
  <si>
    <t xml:space="preserve">   7.1อัตรารับชำระหนี้ถึงกำหนดเดือน เม.ย. 2568 ณ.30 เม.ย.2568</t>
  </si>
  <si>
    <t xml:space="preserve">   7.2อัตรารับชำระหนี้ถึงกำหนดเดือน พ.ค. 2568  ณ.31 พ.ค.2568</t>
  </si>
  <si>
    <t xml:space="preserve">   7.3อัตรารับชำระหนี้ถึงกำหนดเดือน มิ.ย. 2568  ณ.30 มิ.ย.2568</t>
  </si>
  <si>
    <t xml:space="preserve">   7.4อัตรารับชำระหนี้ถึงกำหนดเดือน ก.ค. 2568  ณ.31 ก.ค.2568</t>
  </si>
  <si>
    <t xml:space="preserve">   7.5อัตรารับชำระหนี้ถึงกำหนดเดือน ส.ค. 2568  ณ.31 ส.ค.2568</t>
  </si>
  <si>
    <t xml:space="preserve">   7.6อัตรารับชำระหนี้ถึงกำหนดเดือน ก.ย. 2568  ณ.30 ก.ย.2568</t>
  </si>
  <si>
    <t xml:space="preserve">   7.7อัตรารับชำระหนี้ถึงกำหนดเดือน ต.ค. 2568  ณ.31 ต.ค.2568</t>
  </si>
  <si>
    <t xml:space="preserve">   7.8อัตรารับชำระหนี้ถึงกำหนดเดือน พ.ย. 2568  ณ.30 พ.ย.2568</t>
  </si>
  <si>
    <t xml:space="preserve">   7.9อัตรารับชำระหนี้ถึงกำหนดเดือน ธ.ค. 2568  ณ.31 ธ.ค.2568</t>
  </si>
  <si>
    <t xml:space="preserve">   7.10อัตรารับชำระหนี้ถึงกำหนดเดือน ม.ค. 2569  ณ.31 ม.ค.2569</t>
  </si>
  <si>
    <t xml:space="preserve">   7.11อัตรารับชำระหนี้ถึงกำหนดเดือน ก.พ. 2569  ณ.28 ก.พ.2569</t>
  </si>
  <si>
    <t xml:space="preserve">   7.12อัตรารับชำระหนี้ถึงกำหนดเดือน มี.ค. 2569  ณ.31 มี.ค.2569</t>
  </si>
  <si>
    <t>8. อัตรารับชำระหนี้ (สำรอง 1%) เดือน เม.ย. 68 -  ม.ค. 69 ณ.สิ้นเดือนที่ 2 นับถัดจากเดือนที่ถึงกำหนดชำระ</t>
  </si>
  <si>
    <t xml:space="preserve">   8.1อัตรารับชำระหนี้ถึงกำหนด(สำรอง 1%) เดือน เม.ย. 2568 ณ.30 มิ.ย.2568</t>
  </si>
  <si>
    <t xml:space="preserve">   8.2อัตรารับชำระหนี้ถึงกำหนด(สำรอง 1%) พ.ค. 2568  ณ.31 ก.ค.2568</t>
  </si>
  <si>
    <t xml:space="preserve">   8.3อัตรารับชำระหนี้ถึงกำหนด(สำรอง 1%) มิ.ย. 2568  ณ.31 ส.ค.2568</t>
  </si>
  <si>
    <t xml:space="preserve">   8.4อัตรารับชำระหนี้ถึงกำหนด(สำรอง 1%) ก.ค. 2568  ณ.30 ก.ย.2568</t>
  </si>
  <si>
    <t xml:space="preserve">   8.5อัตรารับชำระหนี้ถึงกำหนด(สำรอง 1%)ส.ค. 2568  ณ.31 ต.ค.2568</t>
  </si>
  <si>
    <t xml:space="preserve">   8.6อัตรารับชำระหนี้ถึงกำหนด(สำรอง 1%)ก.ย. 2568  ณ.30 พ.ย.2568</t>
  </si>
  <si>
    <t xml:space="preserve">   8.7อัตรารับชำระหนี้ถึงกำหนด(สำรอง 1%)เดือน ต.ค. 2568  ณ.31 ธ.ค.2568</t>
  </si>
  <si>
    <t xml:space="preserve">   8.8อัตรารับชำระหนี้ถึงกำหนด(สำรอง 1%)เดือน พ.ย. 2568  ณ.31 ม.ค.2569</t>
  </si>
  <si>
    <t xml:space="preserve">   8.9อัตรารับชำระหนี้ถึงกำหนด(สำรอง 1%)เดือน ธ.ค. 2568  ณ.28 ก.พ.2569</t>
  </si>
  <si>
    <t xml:space="preserve">   8.10อัตรารับชำระหนี้ถึงกำหนด(สำรอง 1%)เดือน ม.ค. 2568  ณ.31 มี.ค.2569</t>
  </si>
  <si>
    <t>9. อัตรารับชำระหนี้ เดือน ม.ค. 68 - ธ.ค. 68 ณ.สิ้นเดือนที่ 3 นับถัดจากเดือนที่ถึงกำหนดชำระ</t>
  </si>
  <si>
    <t xml:space="preserve">   9.1อัตรารับชำระหนี้ถึงกำหนดเดือน ม.ค. 2568 ณ.30 เม.ย.2568</t>
  </si>
  <si>
    <t xml:space="preserve">   9.2อัตรารับชำระหนี้ถึงกำหนดเดือน ก.พ. 2568  ณ.31 พ.ค.2568</t>
  </si>
  <si>
    <t xml:space="preserve">   9.3อัตรารับชำระหนี้ถึงกำหนดเดือน มี.ค. 2568  ณ.30 มิ.ย.2568</t>
  </si>
  <si>
    <t xml:space="preserve">   9.4อัตรารับชำระหนี้ถึงกำหนดเดือน เม.ย. 2568 ณ.31 ก.ค.2568</t>
  </si>
  <si>
    <t xml:space="preserve">   9.5อัตรารับชำระหนี้ถึงกำหนดเดือน พ.ค. 2568  ณ.31 ส.ค.2568</t>
  </si>
  <si>
    <t xml:space="preserve">   9.6อัตรารับชำระหนี้ถึงกำหนดเดือน มิ.ย. 2568  ณ.30 ก.ย.2568</t>
  </si>
  <si>
    <t xml:space="preserve">   9.7อัตรารับชำระหนี้ถึงกำหนดเดือน ก.ค. 2568  ณ.31 ต.ค.2568</t>
  </si>
  <si>
    <t xml:space="preserve">   9.8อัตรารับชำระหนี้ถึงกำหนดเดือน ส.ค. 2568  ณ.30 พ.ย.2568</t>
  </si>
  <si>
    <t xml:space="preserve">   9.9อัตรารับชำระหนี้ถึงกำหนดเดือน ก.ย. 2568  ณ.31 ธ.ค.2568</t>
  </si>
  <si>
    <t xml:space="preserve">   9.10อัตรารับชำระหนี้ถึงกำหนดเดือน ต.ค. 2568  ณ.31 ม.ค.2569</t>
  </si>
  <si>
    <t xml:space="preserve">   9.11อัตรารับชำระหนี้ถึงกำหนดเดือน พ.ย. 2568  ณ.28 ก.พ.2569</t>
  </si>
  <si>
    <t xml:space="preserve">   9.12อัตรารับชำระหนี้ถึงกำหนดเดือน ธ.ค. 2568  ณ.31 มี.ค.2569</t>
  </si>
  <si>
    <t>11. อัตราการรับชำระสัญญาที่มีดอกเบี้ยค้างชำระเกิน 15 เดือนเป็นเงินสด</t>
  </si>
  <si>
    <t>12. ดอกเบี้ยค้างรับที่รับรู้รายได้เกณฑ์เงินสด (NA)</t>
  </si>
  <si>
    <t>13. ดอกเบี้ยค้างรับที่รับรู้รายได้เกณฑ์คงค้าง (AA)</t>
  </si>
  <si>
    <t>14. ควบคุมหนี้ค้างชำระเกิน 3 เดือน (Gross NPL) สิ้นปี</t>
  </si>
  <si>
    <t>2.  การพัฒนาภายใต้โครงการส่งเสริมการเรียนรู้ของส่วนงาน ประจำปีบัญชี 2566</t>
  </si>
  <si>
    <t>(นางพิราวรรณ  สุวรรณนิตย์กุล)</t>
  </si>
  <si>
    <t>ผล</t>
  </si>
  <si>
    <t>STS.</t>
  </si>
  <si>
    <t>SCR.</t>
  </si>
  <si>
    <t>TARGET</t>
  </si>
  <si>
    <t>ACTUAL</t>
  </si>
  <si>
    <t>UNIT</t>
  </si>
  <si>
    <t>1. ผลการดำเนินงาน (Key Performance)</t>
  </si>
  <si>
    <t>1. ฟื้นฟูศักยภาพลูกค้าพักชำระหนี้</t>
  </si>
  <si>
    <t xml:space="preserve">    1.1 ผู้ผ่านการพัฒนา (30/09/68)</t>
  </si>
  <si>
    <t>2.00/2</t>
  </si>
  <si>
    <t xml:space="preserve">    1.2 ผู้ผ่านการพัฒนา รายได้เพิ่ม/ต้นทุนลด หรือผลผลิตเพิ่ม ≥ 15% (30/03/69)</t>
  </si>
  <si>
    <t>2. พัฒนา SME เกษตรหัวขบวน</t>
  </si>
  <si>
    <t xml:space="preserve">    2.1 SME เกษตรหัวขบวน (31/03/69)</t>
  </si>
  <si>
    <t>1.50/1.5</t>
  </si>
  <si>
    <t xml:space="preserve">    2.2 SME เกษตรหัวขบวน รายได้/ปริมาณธุรกิจ เพิ่ม ≥ 10% (31/03/69)</t>
  </si>
  <si>
    <t>3. สินเชื่อ ESG (30/03/69)</t>
  </si>
  <si>
    <t>4.00/4</t>
  </si>
  <si>
    <t>4. เพิ่มฐานลูกค้าสินเชื่อเกษตรกรกลุ่มใหม่ (30/03/69)</t>
  </si>
  <si>
    <t>5.00/5</t>
  </si>
  <si>
    <t>5. อนุมัติสินเชื่อใหม่ลูกค้าบุคคลธรรมดาและเกษตรกร S2 (30/03/69)</t>
  </si>
  <si>
    <t>6. ทายาททดแทน (28/02/69)</t>
  </si>
  <si>
    <t>7. การเติบโตสินเชื่อ</t>
  </si>
  <si>
    <t xml:space="preserve">    7.1 Secure Loans (30/03/69)</t>
  </si>
  <si>
    <t>7.00/7</t>
  </si>
  <si>
    <t xml:space="preserve">    7.2 Normal Loans (30/03/69)</t>
  </si>
  <si>
    <t>1.40/7</t>
  </si>
  <si>
    <t>8. หนี้ถึงกำหนด</t>
  </si>
  <si>
    <t xml:space="preserve">8.1 อัตรารับชำระหนี้   </t>
  </si>
  <si>
    <t xml:space="preserve">    8.1.1 งวดชำระเดือน เม.ย. 68 (30/04/68)</t>
  </si>
  <si>
    <t>0.15/0.15</t>
  </si>
  <si>
    <t xml:space="preserve">    8.1.2 งวดชำระเดือน พ.ค. 68 (31/05/68)</t>
  </si>
  <si>
    <t xml:space="preserve">    8.1.3 งวดชำระเดือน มิ.ย. 68 (30/06/68)</t>
  </si>
  <si>
    <t>0.16/0.2</t>
  </si>
  <si>
    <t xml:space="preserve">    8.1.4 งวดชำระเดือน ก.ค. 68 (31/07/68)</t>
  </si>
  <si>
    <t xml:space="preserve">    8.1.5 งวดชำระเดือน ส.ค. 68 (31/08/68)</t>
  </si>
  <si>
    <t xml:space="preserve">    8.1.6 งวดชำระเดือน ก.ย. 68 (30/09/68)</t>
  </si>
  <si>
    <t>0.20/0.2</t>
  </si>
  <si>
    <t xml:space="preserve">    8.1.7 งวดชำระเดือน ต.ค. 68 (31/10/68)</t>
  </si>
  <si>
    <t xml:space="preserve">    8.1.8 งวดชำระเดือน พ.ย. 68 (30/11/68)</t>
  </si>
  <si>
    <t xml:space="preserve">    8.1.9 งวดชำระเดือน ธ.ค. 68 (31/12/68)</t>
  </si>
  <si>
    <t xml:space="preserve">    8.1.10 งวดชำระเดือน ม.ค. 69 (31/01/69)</t>
  </si>
  <si>
    <t xml:space="preserve">    8.1.11 งวดชำระเดือน ก.พ. 69 (28/02/69)</t>
  </si>
  <si>
    <t xml:space="preserve">    8.1.12 งวดชำระเดือน มี.ค. 69 (31/03/69)</t>
  </si>
  <si>
    <t>0.15/0.2</t>
  </si>
  <si>
    <t xml:space="preserve">8.2 อัตรารับชำระหนี้ (สำรอง 1%)   </t>
  </si>
  <si>
    <t xml:space="preserve">    8.2.1 งวดชำระเดือน เม.ย. 68 ณ สิ้นเดือน มิ.ย. 68 (30/06/68)</t>
  </si>
  <si>
    <t>0.50/0.5</t>
  </si>
  <si>
    <t xml:space="preserve">    8.2.2 งวดชำระเดือน พ.ค. 68 ณ สิ้นเดือน ก.ค. 68 (31/07/68)</t>
  </si>
  <si>
    <t xml:space="preserve">    8.2.3 งวดชำระเดือน มิ.ย. 68 ณ สิ้นเดือน ส.ค. 68 (31/08/68)</t>
  </si>
  <si>
    <t>0.75/0.75</t>
  </si>
  <si>
    <t xml:space="preserve">    8.2.4 งวดชำระเดือน ก.ค. 68 ณ สิ้นเดือน ก.ย. 68 (30/09/68)</t>
  </si>
  <si>
    <t xml:space="preserve">    8.2.5 งวดชำระเดือน ส.ค. 68 ณ สิ้นเดือน ต.ค. 68 (31/10/68)</t>
  </si>
  <si>
    <t xml:space="preserve">    8.2.6 งวดชำระเดือน ก.ย. 68 ณ สิ้นเดือน พ.ย. 68 (30/11/68)</t>
  </si>
  <si>
    <t xml:space="preserve">    8.2.7 งวดชำระเดือน ต.ค. 68 ณ สิ้นเดือน ธ.ค. 68 (31/12/68)</t>
  </si>
  <si>
    <t xml:space="preserve">    8.2.8 งวดชำระเดือน พ.ย. 68 ณ สิ้นเดือน ม.ค. 69 (31/01/69)</t>
  </si>
  <si>
    <t xml:space="preserve">    8.2.9 งวดชำระเดือน ธ.ค. 68 ณ สิ้นเดือน ก.พ. 69 (28/02/69)</t>
  </si>
  <si>
    <t xml:space="preserve">    8.2.10 งวดชำระเดือน ม.ค. 69 ณ สิ้นเดือน มี.ค. 69 (30/03/69)</t>
  </si>
  <si>
    <t xml:space="preserve">8.3 อัตรารับชำระหนี้ ณ สิ้นเดือนที่ 3   </t>
  </si>
  <si>
    <t xml:space="preserve">    8.3.1 งวดชำระเดือน ม.ค. 68 ณ สิ้นเดือน เม.ย. 68 (30/04/68)</t>
  </si>
  <si>
    <t>0.30/0.3</t>
  </si>
  <si>
    <t xml:space="preserve">    8.3.2 งวดชำระเดือน ก.พ. 68 ณ สิ้นเดือน พ.ค. 68 (31/05/68)</t>
  </si>
  <si>
    <t xml:space="preserve">    8.3.3 งวดชำระเดือน มี.ค. 68 ณ สิ้นเดือน มิ.ย. 68 (30/06/68)</t>
  </si>
  <si>
    <t>0.40/0.4</t>
  </si>
  <si>
    <t xml:space="preserve">    8.3.4 งวดชำระเดือน เม.ย. 68 ณ สิ้นเดือน ก.ค. 68 (31/07/68)</t>
  </si>
  <si>
    <t xml:space="preserve">    8.3.5 งวดชำระเดือน พ.ค. 68 ณ สิ้นเดือน ส.ค. 68 (31/08/68)</t>
  </si>
  <si>
    <t xml:space="preserve">    8.3.6 งวดชำระเดือน มิ.ย. 68 ณ สิ้นเดือน ก.ย. 68 (30/09/68)</t>
  </si>
  <si>
    <t xml:space="preserve">    8.3.7 งวดชำระเดือน ก.ค. 68 ณ สิ้นเดือน ต.ค. 68 (31/10/68)</t>
  </si>
  <si>
    <t xml:space="preserve">    8.3.8 งวดชำระเดือน ส.ค. 68 ณ สิ้นเดือน พ.ย. 68 (30/11/68)</t>
  </si>
  <si>
    <t xml:space="preserve">    8.3.9 งวดชำระเดือน ก.ย. 68 ณ สิ้นเดือน ธ.ค. 68 (31/12/68)</t>
  </si>
  <si>
    <t xml:space="preserve">    8.3.10 งวดชำระเดือน ต.ค. 68 ณ สิ้นเดือน ม.ค. 69 (31/01/69)</t>
  </si>
  <si>
    <t xml:space="preserve">    8.3.11 งวดชำระเดือน พ.ย. 68 ณ สิ้นเดือน ก.พ. 69 (28/02/69)</t>
  </si>
  <si>
    <t xml:space="preserve">    8.3.12 งวดชำระเดือน ธ.ค. 68 ณ สิ้นเดือน มี.ค. 69 (30/03/69)</t>
  </si>
  <si>
    <t>0.35/0.4</t>
  </si>
  <si>
    <t>9. รับชำระดอกเบี้ยค้างรับที่รับรู้รายได้เกณฑ์คงค้าง (AA) เป็นเงินสด (31/03/69)</t>
  </si>
  <si>
    <t>8.00/8</t>
  </si>
  <si>
    <t>10. รับชำระดอกเบี้ยค้างรับที่รับรู้รายได้เกณฑ์เงินสด (NA) เป็นเงินสด (31/03/69)</t>
  </si>
  <si>
    <t>5.61/8</t>
  </si>
  <si>
    <t>11. Gross NPLs (31/03/69)</t>
  </si>
  <si>
    <t>12. เงินรับฝากเพิ่ม (31/03/69)</t>
  </si>
  <si>
    <t>13. รายได้ FBI และ เงินฝากสงเคราะห์ชีวิต (31/03/69)</t>
  </si>
  <si>
    <t>5.33/6</t>
  </si>
  <si>
    <t xml:space="preserve">    13.1 รายได้ค่าบริการและค่าธรรมเนียม (31/03/69)</t>
  </si>
  <si>
    <t xml:space="preserve">    13.2 รายได้เงินฝากสงเคราะห์ชีวิต (31/03/69)</t>
  </si>
  <si>
    <t>14. อัตรารับชำระหนี้สัญญาดอกเบี้ย 15 เดือน (31/03/69)</t>
  </si>
  <si>
    <t>7.75/8</t>
  </si>
  <si>
    <t>2. กระบวนการ Core Business Enablers</t>
  </si>
  <si>
    <t>1. การขยายผลนวัตกรรมในพื้นที่ (28/02/69)</t>
  </si>
  <si>
    <t>รวม</t>
  </si>
  <si>
    <t>90.95/100</t>
  </si>
  <si>
    <t>พิราวรรณ</t>
  </si>
  <si>
    <t>พรพงศ์</t>
  </si>
  <si>
    <t>5. อนุมัติสินเชื่อใหม่ลูกค้าบุคคลธรรมดาและเกษตรกร S2 (31/03/69)</t>
  </si>
  <si>
    <t xml:space="preserve">    7.1 Secure Loans (31/03/69)</t>
  </si>
  <si>
    <t xml:space="preserve">    7.2 Normal Loans (31/03/69)</t>
  </si>
  <si>
    <t xml:space="preserve">    8.3.12 งวดชำระเดือน ธ.ค. 68 ณ สิ้นเดือน มี.ค. 69 (31/03/69)</t>
  </si>
  <si>
    <t>9. รับชำระดอกเบี้ยค้างรับที่รับรู้รายได้เกณฑ์คงค้าง (AA) เป็นเงินสด (30/03/69)</t>
  </si>
  <si>
    <t>10. รับชำระดอกเบี้ยค้างรับที่รับรู้รายได้เกณฑ์เงินสด (NA) เป็นเงินสด (30/03/69)</t>
  </si>
  <si>
    <t>11. Gross NPLs (30/03/69)</t>
  </si>
  <si>
    <t>12. เงินรับฝากเพิ่ม (30/03/69)</t>
  </si>
  <si>
    <t>13. รายได้ FBI และ เงินฝากสงเคราะห์ชีวิต (30/03/69)</t>
  </si>
  <si>
    <t xml:space="preserve">    13.1 รายได้ค่าบริการและค่าธรรมเนียม (30/03/69)</t>
  </si>
  <si>
    <t xml:space="preserve">    13.2 รายได้เงินฝากสงเคราะห์ชีวิต (30/03/69)</t>
  </si>
  <si>
    <t>14. อัตรารับชำระหนี้สัญญาดอกเบี้ย 15 เดือน (30/03/69)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</si>
</sst>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&quot;%&quot;"/>
    <numFmt numFmtId="166" formatCode="0.000"/>
    <numFmt numFmtId="167" formatCode="#,##0.000"/>
  </numFmts>
  <fonts count="26" x14ac:knownFonts="1">
    <font>
      <sz val="11"/>
      <color theme="1"/>
      <name val="Calibri"/>
      <family val="2"/>
      <charset val="222"/>
      <scheme val="minor"/>
    </font>
    <font>
      <b/>
      <sz val="22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Wingdings 2"/>
      <family val="1"/>
      <charset val="2"/>
    </font>
    <font>
      <b/>
      <sz val="18"/>
      <color theme="1"/>
      <name val="TH SarabunPSK"/>
      <family val="2"/>
    </font>
    <font>
      <sz val="22"/>
      <color theme="1"/>
      <name val="TH SarabunPSK"/>
      <family val="2"/>
    </font>
    <font>
      <b/>
      <sz val="24"/>
      <color theme="1"/>
      <name val="TH SarabunPSK"/>
      <family val="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2"/>
      <color theme="1"/>
      <name val="TH SarabunPSK"/>
      <family val="2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b/>
      <sz val="24"/>
      <color rgb="FFFF0000"/>
      <name val="TH SarabunPSK"/>
      <family val="2"/>
    </font>
    <font>
      <sz val="18"/>
      <color theme="1"/>
      <name val="TH SarabunPSK"/>
      <family val="2"/>
    </font>
    <font>
      <sz val="11"/>
      <color theme="1"/>
      <name val="TH SarabunPSK"/>
      <family val="2"/>
    </font>
    <font>
      <sz val="11"/>
      <color theme="1"/>
      <name val="Calibri"/>
      <family val="2"/>
      <scheme val="minor"/>
    </font>
    <font>
      <b/>
      <sz val="12"/>
      <color theme="1"/>
      <name val="TH SarabunPSK"/>
      <family val="2"/>
    </font>
    <font>
      <sz val="11"/>
      <color rgb="FF000000"/>
      <name val="Tahoma"/>
      <family val="2"/>
      <charset val="222"/>
    </font>
    <font>
      <b/>
      <sz val="18"/>
      <color rgb="FFFFFFFF"/>
      <name val="TH SarabunPSK"/>
      <family val="2"/>
    </font>
    <font>
      <b/>
      <sz val="14"/>
      <color rgb="FFFFFFFF"/>
      <name val="TH SarabunPSK"/>
      <family val="2"/>
    </font>
    <font>
      <b/>
      <sz val="13"/>
      <color rgb="FFFFFFFF"/>
      <name val="TH SarabunPSK"/>
      <family val="2"/>
    </font>
    <font>
      <sz val="14"/>
      <color theme="1"/>
      <name val="TH SarabunPSK"/>
      <family val="2"/>
    </font>
    <font>
      <sz val="13"/>
      <color theme="1"/>
      <name val="TH SarabunPSK"/>
      <family val="2"/>
    </font>
    <font>
      <b/>
      <sz val="15"/>
      <color theme="1"/>
      <name val="TH SarabunPSK"/>
      <family val="2"/>
    </font>
    <font>
      <i/>
      <sz val="12"/>
      <color rgb="FF595959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BF3FB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28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4" fontId="2" fillId="0" borderId="15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/>
    </xf>
    <xf numFmtId="4" fontId="2" fillId="0" borderId="15" xfId="0" applyNumberFormat="1" applyFont="1" applyBorder="1" applyAlignment="1">
      <alignment horizontal="center"/>
    </xf>
    <xf numFmtId="4" fontId="2" fillId="0" borderId="0" xfId="0" applyNumberFormat="1" applyFont="1"/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0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3" fontId="2" fillId="0" borderId="10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" fontId="2" fillId="0" borderId="15" xfId="0" applyNumberFormat="1" applyFont="1" applyBorder="1"/>
    <xf numFmtId="0" fontId="6" fillId="0" borderId="15" xfId="0" applyFont="1" applyBorder="1"/>
    <xf numFmtId="0" fontId="6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7" fillId="0" borderId="0" xfId="0" applyFont="1" applyAlignment="1">
      <alignment horizontal="center"/>
    </xf>
    <xf numFmtId="1" fontId="3" fillId="0" borderId="0" xfId="0" applyNumberFormat="1" applyFont="1"/>
    <xf numFmtId="0" fontId="8" fillId="0" borderId="0" xfId="0" applyFont="1"/>
    <xf numFmtId="0" fontId="9" fillId="0" borderId="0" xfId="0" applyFont="1"/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5" fontId="10" fillId="0" borderId="15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6" xfId="0" applyFont="1" applyBorder="1"/>
    <xf numFmtId="0" fontId="2" fillId="0" borderId="12" xfId="0" applyFont="1" applyBorder="1"/>
    <xf numFmtId="0" fontId="3" fillId="0" borderId="15" xfId="0" applyFont="1" applyBorder="1"/>
    <xf numFmtId="15" fontId="2" fillId="0" borderId="15" xfId="0" applyNumberFormat="1" applyFont="1" applyBorder="1" applyAlignment="1">
      <alignment horizontal="center"/>
    </xf>
    <xf numFmtId="15" fontId="2" fillId="0" borderId="15" xfId="0" applyNumberFormat="1" applyFont="1" applyBorder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12" fillId="0" borderId="1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10" xfId="0" applyFont="1" applyBorder="1"/>
    <xf numFmtId="0" fontId="13" fillId="0" borderId="0" xfId="0" applyFont="1" applyAlignment="1">
      <alignment horizontal="center"/>
    </xf>
    <xf numFmtId="0" fontId="11" fillId="0" borderId="16" xfId="0" applyFont="1" applyBorder="1" applyAlignment="1">
      <alignment horizontal="left"/>
    </xf>
    <xf numFmtId="0" fontId="10" fillId="0" borderId="15" xfId="0" applyFont="1" applyBorder="1"/>
    <xf numFmtId="0" fontId="9" fillId="0" borderId="6" xfId="0" applyFont="1" applyBorder="1"/>
    <xf numFmtId="0" fontId="9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5" xfId="0" applyFont="1" applyBorder="1"/>
    <xf numFmtId="4" fontId="9" fillId="0" borderId="15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3" fontId="9" fillId="0" borderId="10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/>
    <xf numFmtId="15" fontId="9" fillId="0" borderId="15" xfId="0" applyNumberFormat="1" applyFont="1" applyBorder="1" applyAlignment="1">
      <alignment horizontal="center"/>
    </xf>
    <xf numFmtId="15" fontId="9" fillId="0" borderId="15" xfId="0" applyNumberFormat="1" applyFont="1" applyBorder="1"/>
    <xf numFmtId="164" fontId="3" fillId="0" borderId="15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 vertical="center"/>
    </xf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3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0" xfId="1" applyFont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3" fillId="0" borderId="0" xfId="1" applyFont="1" applyAlignment="1">
      <alignment horizontal="left"/>
    </xf>
    <xf numFmtId="0" fontId="3" fillId="0" borderId="14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15" xfId="1" applyFont="1" applyBorder="1" applyAlignment="1">
      <alignment horizontal="center"/>
    </xf>
    <xf numFmtId="0" fontId="3" fillId="0" borderId="11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2" fillId="0" borderId="15" xfId="1" applyFont="1" applyBorder="1"/>
    <xf numFmtId="0" fontId="2" fillId="0" borderId="15" xfId="1" applyFont="1" applyBorder="1" applyAlignment="1">
      <alignment horizontal="center"/>
    </xf>
    <xf numFmtId="0" fontId="2" fillId="0" borderId="15" xfId="1" applyFont="1" applyBorder="1" applyAlignment="1">
      <alignment horizontal="center" vertical="center"/>
    </xf>
    <xf numFmtId="4" fontId="3" fillId="0" borderId="15" xfId="1" applyNumberFormat="1" applyFont="1" applyBorder="1" applyAlignment="1">
      <alignment horizontal="center" vertical="center"/>
    </xf>
    <xf numFmtId="4" fontId="2" fillId="0" borderId="15" xfId="1" applyNumberFormat="1" applyFont="1" applyBorder="1" applyAlignment="1">
      <alignment horizontal="center" vertical="center"/>
    </xf>
    <xf numFmtId="2" fontId="2" fillId="0" borderId="15" xfId="1" applyNumberFormat="1" applyFont="1" applyBorder="1" applyAlignment="1">
      <alignment horizontal="center"/>
    </xf>
    <xf numFmtId="4" fontId="2" fillId="0" borderId="15" xfId="1" applyNumberFormat="1" applyFont="1" applyBorder="1" applyAlignment="1">
      <alignment horizontal="center"/>
    </xf>
    <xf numFmtId="4" fontId="2" fillId="0" borderId="0" xfId="1" applyNumberFormat="1" applyFont="1"/>
    <xf numFmtId="0" fontId="4" fillId="0" borderId="15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3" fontId="3" fillId="0" borderId="15" xfId="1" applyNumberFormat="1" applyFont="1" applyBorder="1" applyAlignment="1">
      <alignment horizontal="center" vertical="center"/>
    </xf>
    <xf numFmtId="3" fontId="2" fillId="0" borderId="15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" fillId="0" borderId="10" xfId="1" applyFont="1" applyBorder="1"/>
    <xf numFmtId="0" fontId="3" fillId="0" borderId="10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/>
    </xf>
    <xf numFmtId="4" fontId="3" fillId="0" borderId="10" xfId="1" applyNumberFormat="1" applyFont="1" applyBorder="1" applyAlignment="1">
      <alignment horizontal="center" vertical="center"/>
    </xf>
    <xf numFmtId="4" fontId="2" fillId="0" borderId="10" xfId="1" applyNumberFormat="1" applyFont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1" fontId="3" fillId="0" borderId="0" xfId="1" applyNumberFormat="1" applyFont="1"/>
    <xf numFmtId="0" fontId="8" fillId="0" borderId="0" xfId="1" applyFont="1"/>
    <xf numFmtId="0" fontId="9" fillId="0" borderId="0" xfId="1" applyFont="1"/>
    <xf numFmtId="0" fontId="5" fillId="0" borderId="10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15" fontId="17" fillId="0" borderId="15" xfId="1" applyNumberFormat="1" applyFont="1" applyBorder="1" applyAlignment="1">
      <alignment horizontal="center"/>
    </xf>
    <xf numFmtId="15" fontId="10" fillId="0" borderId="15" xfId="1" applyNumberFormat="1" applyFont="1" applyBorder="1" applyAlignment="1">
      <alignment horizontal="center"/>
    </xf>
    <xf numFmtId="0" fontId="2" fillId="0" borderId="11" xfId="1" applyFont="1" applyBorder="1"/>
    <xf numFmtId="0" fontId="2" fillId="0" borderId="16" xfId="1" applyFont="1" applyBorder="1"/>
    <xf numFmtId="0" fontId="2" fillId="0" borderId="12" xfId="1" applyFont="1" applyBorder="1"/>
    <xf numFmtId="0" fontId="3" fillId="0" borderId="15" xfId="1" applyFont="1" applyBorder="1"/>
    <xf numFmtId="15" fontId="3" fillId="0" borderId="15" xfId="1" applyNumberFormat="1" applyFont="1" applyBorder="1" applyAlignment="1">
      <alignment horizontal="center"/>
    </xf>
    <xf numFmtId="15" fontId="2" fillId="0" borderId="15" xfId="1" applyNumberFormat="1" applyFont="1" applyBorder="1" applyAlignment="1">
      <alignment horizontal="center"/>
    </xf>
    <xf numFmtId="15" fontId="2" fillId="0" borderId="15" xfId="1" applyNumberFormat="1" applyFont="1" applyBorder="1"/>
    <xf numFmtId="0" fontId="18" fillId="0" borderId="0" xfId="0" applyFont="1"/>
    <xf numFmtId="4" fontId="2" fillId="0" borderId="0" xfId="1" applyNumberFormat="1" applyFont="1" applyAlignment="1">
      <alignment horizontal="center"/>
    </xf>
    <xf numFmtId="0" fontId="20" fillId="4" borderId="15" xfId="0" applyFont="1" applyFill="1" applyBorder="1" applyAlignment="1">
      <alignment horizontal="center"/>
    </xf>
    <xf numFmtId="0" fontId="21" fillId="4" borderId="15" xfId="0" applyFont="1" applyFill="1" applyBorder="1" applyAlignment="1">
      <alignment horizontal="center"/>
    </xf>
    <xf numFmtId="0" fontId="23" fillId="5" borderId="15" xfId="0" applyFont="1" applyFill="1" applyBorder="1" applyAlignment="1">
      <alignment horizontal="center"/>
    </xf>
    <xf numFmtId="0" fontId="23" fillId="6" borderId="15" xfId="0" applyFont="1" applyFill="1" applyBorder="1" applyAlignment="1">
      <alignment horizontal="center"/>
    </xf>
    <xf numFmtId="0" fontId="21" fillId="4" borderId="15" xfId="0" applyFont="1" applyFill="1" applyBorder="1" applyAlignment="1">
      <alignment horizontal="center" wrapText="1"/>
    </xf>
    <xf numFmtId="0" fontId="22" fillId="5" borderId="15" xfId="0" applyFont="1" applyFill="1" applyBorder="1"/>
    <xf numFmtId="165" fontId="23" fillId="5" borderId="15" xfId="0" applyNumberFormat="1" applyFont="1" applyFill="1" applyBorder="1" applyAlignment="1">
      <alignment horizontal="center"/>
    </xf>
    <xf numFmtId="0" fontId="22" fillId="6" borderId="15" xfId="0" applyFont="1" applyFill="1" applyBorder="1"/>
    <xf numFmtId="165" fontId="23" fillId="6" borderId="15" xfId="0" applyNumberFormat="1" applyFont="1" applyFill="1" applyBorder="1" applyAlignment="1">
      <alignment horizontal="center"/>
    </xf>
    <xf numFmtId="166" fontId="24" fillId="5" borderId="15" xfId="0" applyNumberFormat="1" applyFont="1" applyFill="1" applyBorder="1" applyAlignment="1">
      <alignment horizontal="center"/>
    </xf>
    <xf numFmtId="166" fontId="24" fillId="6" borderId="1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25" fillId="0" borderId="0" xfId="0" applyFont="1"/>
    <xf numFmtId="0" fontId="19" fillId="3" borderId="0" xfId="0" applyFont="1" applyFill="1" applyAlignment="1">
      <alignment horizontal="center"/>
    </xf>
    <xf numFmtId="0" fontId="1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6" xfId="1" applyFont="1" applyBorder="1" applyAlignment="1">
      <alignment horizontal="center"/>
    </xf>
    <xf numFmtId="0" fontId="3" fillId="0" borderId="8" xfId="1" applyFont="1" applyBorder="1" applyAlignment="1">
      <alignment horizontal="left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10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2" fillId="0" borderId="7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3" fillId="0" borderId="11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12" xfId="1" applyFont="1" applyBorder="1" applyAlignment="1">
      <alignment horizontal="left"/>
    </xf>
    <xf numFmtId="0" fontId="2" fillId="0" borderId="11" xfId="1" applyFont="1" applyBorder="1" applyAlignment="1">
      <alignment horizontal="left" wrapText="1"/>
    </xf>
    <xf numFmtId="0" fontId="2" fillId="0" borderId="12" xfId="1" applyFont="1" applyBorder="1" applyAlignment="1">
      <alignment horizontal="left" wrapText="1"/>
    </xf>
    <xf numFmtId="0" fontId="1" fillId="0" borderId="11" xfId="1" applyFont="1" applyBorder="1" applyAlignment="1">
      <alignment horizontal="left"/>
    </xf>
    <xf numFmtId="0" fontId="1" fillId="0" borderId="16" xfId="1" applyFont="1" applyBorder="1" applyAlignment="1">
      <alignment horizontal="left"/>
    </xf>
    <xf numFmtId="0" fontId="1" fillId="0" borderId="12" xfId="1" applyFont="1" applyBorder="1" applyAlignment="1">
      <alignment horizontal="left"/>
    </xf>
    <xf numFmtId="0" fontId="7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2" fillId="0" borderId="11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/>
    </xf>
    <xf numFmtId="0" fontId="2" fillId="0" borderId="16" xfId="1" applyFont="1" applyBorder="1" applyAlignment="1">
      <alignment horizontal="left"/>
    </xf>
    <xf numFmtId="0" fontId="2" fillId="0" borderId="12" xfId="1" applyFont="1" applyBorder="1" applyAlignment="1">
      <alignment horizontal="left"/>
    </xf>
    <xf numFmtId="0" fontId="2" fillId="0" borderId="11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11" xfId="1" applyFont="1" applyBorder="1" applyAlignment="1">
      <alignment horizontal="right"/>
    </xf>
    <xf numFmtId="0" fontId="1" fillId="0" borderId="16" xfId="1" applyFont="1" applyBorder="1" applyAlignment="1">
      <alignment horizontal="right"/>
    </xf>
    <xf numFmtId="0" fontId="1" fillId="0" borderId="12" xfId="1" applyFont="1" applyBorder="1" applyAlignment="1">
      <alignment horizontal="right"/>
    </xf>
    <xf numFmtId="167" fontId="2" fillId="0" borderId="0" xfId="1" applyNumberFormat="1" applyFont="1"/>
    <xf numFmtId="167" fontId="2" fillId="0" borderId="0" xfId="1" applyNumberFormat="1" applyFont="1" applyAlignment="1">
      <alignment horizontal="center"/>
    </xf>
    <xf numFmtId="167" fontId="3" fillId="0" borderId="10" xfId="1" applyNumberFormat="1" applyFont="1" applyBorder="1" applyAlignment="1">
      <alignment horizontal="center" vertical="center" wrapText="1"/>
    </xf>
    <xf numFmtId="167" fontId="3" fillId="0" borderId="13" xfId="1" applyNumberFormat="1" applyFont="1" applyBorder="1" applyAlignment="1">
      <alignment horizontal="center" vertical="center" wrapText="1"/>
    </xf>
    <xf numFmtId="167" fontId="2" fillId="0" borderId="15" xfId="1" applyNumberFormat="1" applyFont="1" applyBorder="1"/>
    <xf numFmtId="167" fontId="2" fillId="0" borderId="15" xfId="1" applyNumberFormat="1" applyFont="1" applyBorder="1" applyAlignment="1">
      <alignment horizontal="center"/>
    </xf>
    <xf numFmtId="167" fontId="6" fillId="0" borderId="15" xfId="1" applyNumberFormat="1" applyFont="1" applyBorder="1"/>
    <xf numFmtId="167" fontId="7" fillId="0" borderId="0" xfId="1" applyNumberFormat="1" applyFont="1" applyAlignment="1">
      <alignment horizontal="center"/>
    </xf>
    <xf numFmtId="167" fontId="8" fillId="0" borderId="0" xfId="1" applyNumberFormat="1" applyFont="1"/>
    <xf numFmtId="167" fontId="9" fillId="0" borderId="0" xfId="1" applyNumberFormat="1" applyFont="1"/>
    <xf numFmtId="167" fontId="6" fillId="0" borderId="15" xfId="1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1FAA18-9621-CE44-86F5-959176890CA5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7" sqref="B17"/>
    </sheetView>
  </sheetViews>
  <sheetFormatPr baseColWidth="10" defaultColWidth="10.83203125" defaultRowHeight="15" x14ac:dyDescent="0.2"/>
  <cols>
    <col min="1" max="1" width="33.5" customWidth="1"/>
    <col min="2" max="2" width="21.5" customWidth="1"/>
    <col min="3" max="3" width="18.5" customWidth="1"/>
    <col min="4" max="4" width="15" customWidth="1"/>
    <col min="5" max="5" width="16.5" customWidth="1"/>
    <col min="6" max="7" width="15" customWidth="1"/>
  </cols>
  <sheetData>
    <row r="1" spans="1:5" ht="27" x14ac:dyDescent="0.45">
      <c r="A1" s="215" t="s">
        <v>0</v>
      </c>
      <c r="B1" s="215"/>
      <c r="C1" s="215"/>
      <c r="D1" s="215"/>
      <c r="E1" s="215"/>
    </row>
    <row r="3" spans="1:5" ht="21" x14ac:dyDescent="0.35">
      <c r="A3" s="139" t="s">
        <v>1</v>
      </c>
      <c r="B3" s="139" t="s">
        <v>2</v>
      </c>
      <c r="C3" s="143" t="s">
        <v>3</v>
      </c>
      <c r="D3" s="140" t="s">
        <v>4</v>
      </c>
      <c r="E3" s="140" t="s">
        <v>5</v>
      </c>
    </row>
    <row r="4" spans="1:5" ht="23" x14ac:dyDescent="0.4">
      <c r="A4" s="144" t="s">
        <v>6</v>
      </c>
      <c r="B4" s="141" t="s">
        <v>7</v>
      </c>
      <c r="C4" s="148">
        <f>ภิชฌา!O57</f>
        <v>31.962342857142858</v>
      </c>
      <c r="D4" s="145"/>
      <c r="E4" s="141"/>
    </row>
    <row r="5" spans="1:5" ht="23" x14ac:dyDescent="0.4">
      <c r="A5" s="146" t="s">
        <v>8</v>
      </c>
      <c r="B5" s="142" t="s">
        <v>9</v>
      </c>
      <c r="C5" s="149">
        <f>พรพงศ์!O75</f>
        <v>65.321485714285714</v>
      </c>
      <c r="D5" s="147"/>
      <c r="E5" s="142"/>
    </row>
    <row r="6" spans="1:5" ht="23" x14ac:dyDescent="0.4">
      <c r="A6" s="144" t="s">
        <v>10</v>
      </c>
      <c r="B6" s="141" t="s">
        <v>11</v>
      </c>
      <c r="C6" s="148">
        <f>พิราวรรณ!O75</f>
        <v>65.200285714285712</v>
      </c>
      <c r="D6" s="145"/>
      <c r="E6" s="141"/>
    </row>
    <row r="8" spans="1:5" ht="19" x14ac:dyDescent="0.35">
      <c r="A8" s="214"/>
      <c r="B8" s="214"/>
      <c r="C8" s="214"/>
      <c r="D8" s="214"/>
      <c r="E8" s="214"/>
    </row>
  </sheetData>
  <mergeCells count="2">
    <mergeCell ref="A8:E8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78"/>
  <sheetViews>
    <sheetView zoomScale="90" workbookViewId="0">
      <selection activeCell="P31" sqref="P1:R1048576"/>
    </sheetView>
  </sheetViews>
  <sheetFormatPr baseColWidth="10" defaultColWidth="9" defaultRowHeight="30" x14ac:dyDescent="0.5"/>
  <cols>
    <col min="1" max="1" width="13.5" style="1" customWidth="1"/>
    <col min="2" max="2" width="64.1640625" style="1" customWidth="1"/>
    <col min="3" max="3" width="17.1640625" style="57" customWidth="1"/>
    <col min="4" max="7" width="10.5" style="1" customWidth="1"/>
    <col min="8" max="8" width="10.5" style="42" customWidth="1"/>
    <col min="9" max="13" width="10.5" style="1" customWidth="1"/>
    <col min="14" max="14" width="17.5" style="1" customWidth="1"/>
    <col min="15" max="15" width="14.5" style="1" customWidth="1"/>
    <col min="16" max="16" width="9" style="1" hidden="1" customWidth="1"/>
    <col min="17" max="17" width="8.5" style="1" hidden="1" customWidth="1"/>
    <col min="18" max="18" width="0" style="1" hidden="1" customWidth="1"/>
    <col min="19" max="16384" width="9" style="1"/>
  </cols>
  <sheetData>
    <row r="1" spans="1:15" ht="33" x14ac:dyDescent="0.55000000000000004">
      <c r="A1" s="153" t="s">
        <v>12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ht="33" x14ac:dyDescent="0.55000000000000004">
      <c r="A2" s="153" t="s">
        <v>13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4" spans="1:15" ht="24" x14ac:dyDescent="0.4">
      <c r="A4" s="2" t="s">
        <v>14</v>
      </c>
      <c r="B4" s="3" t="s">
        <v>15</v>
      </c>
      <c r="C4" s="56" t="s">
        <v>16</v>
      </c>
      <c r="D4" s="4">
        <v>6000261</v>
      </c>
      <c r="E4" s="5"/>
      <c r="F4" s="154" t="s">
        <v>17</v>
      </c>
      <c r="G4" s="155"/>
      <c r="H4" s="156"/>
      <c r="I4" s="154" t="s">
        <v>18</v>
      </c>
      <c r="J4" s="155"/>
      <c r="K4" s="156"/>
      <c r="L4" s="154" t="s">
        <v>19</v>
      </c>
      <c r="M4" s="155"/>
      <c r="N4" s="156"/>
    </row>
    <row r="5" spans="1:15" x14ac:dyDescent="0.5">
      <c r="A5" s="2" t="s">
        <v>20</v>
      </c>
      <c r="B5" s="3" t="s">
        <v>7</v>
      </c>
      <c r="C5" s="56" t="s">
        <v>21</v>
      </c>
      <c r="D5" s="3"/>
      <c r="E5" s="5"/>
      <c r="F5" s="6"/>
      <c r="H5" s="66"/>
      <c r="I5" s="6"/>
      <c r="K5" s="7"/>
      <c r="L5" s="6"/>
      <c r="N5" s="7"/>
    </row>
    <row r="6" spans="1:15" ht="24" x14ac:dyDescent="0.4">
      <c r="A6" s="2" t="s">
        <v>22</v>
      </c>
      <c r="B6" s="3" t="s">
        <v>23</v>
      </c>
      <c r="C6" s="56" t="s">
        <v>24</v>
      </c>
      <c r="D6" s="3" t="s">
        <v>25</v>
      </c>
      <c r="E6" s="5"/>
      <c r="F6" s="150" t="s">
        <v>26</v>
      </c>
      <c r="G6" s="151"/>
      <c r="H6" s="152"/>
      <c r="I6" s="150" t="s">
        <v>27</v>
      </c>
      <c r="J6" s="151"/>
      <c r="K6" s="152"/>
      <c r="L6" s="150" t="s">
        <v>28</v>
      </c>
      <c r="M6" s="151"/>
      <c r="N6" s="152"/>
    </row>
    <row r="7" spans="1:15" ht="24" x14ac:dyDescent="0.4">
      <c r="F7" s="150" t="s">
        <v>29</v>
      </c>
      <c r="G7" s="151"/>
      <c r="H7" s="152"/>
      <c r="I7" s="150" t="s">
        <v>29</v>
      </c>
      <c r="J7" s="151"/>
      <c r="K7" s="152"/>
      <c r="L7" s="150" t="s">
        <v>29</v>
      </c>
      <c r="M7" s="151"/>
      <c r="N7" s="152"/>
    </row>
    <row r="8" spans="1:15" x14ac:dyDescent="0.5">
      <c r="F8" s="9"/>
      <c r="G8" s="10"/>
      <c r="H8" s="67"/>
      <c r="I8" s="9"/>
      <c r="J8" s="10"/>
      <c r="K8" s="11"/>
      <c r="L8" s="9"/>
      <c r="M8" s="10"/>
      <c r="N8" s="11"/>
    </row>
    <row r="10" spans="1:15" ht="24" x14ac:dyDescent="0.4">
      <c r="A10" s="157" t="s">
        <v>30</v>
      </c>
      <c r="B10" s="158"/>
      <c r="C10" s="158"/>
      <c r="D10" s="158"/>
      <c r="E10" s="159"/>
      <c r="F10" s="176" t="s">
        <v>31</v>
      </c>
      <c r="G10" s="163" t="s">
        <v>32</v>
      </c>
      <c r="H10" s="164"/>
      <c r="I10" s="163" t="s">
        <v>32</v>
      </c>
      <c r="J10" s="164"/>
      <c r="K10" s="157" t="s">
        <v>33</v>
      </c>
      <c r="L10" s="159"/>
      <c r="M10" s="157" t="s">
        <v>4</v>
      </c>
      <c r="N10" s="158"/>
      <c r="O10" s="159"/>
    </row>
    <row r="11" spans="1:15" ht="24" x14ac:dyDescent="0.4">
      <c r="A11" s="160"/>
      <c r="B11" s="161"/>
      <c r="C11" s="161"/>
      <c r="D11" s="161"/>
      <c r="E11" s="162"/>
      <c r="F11" s="177"/>
      <c r="G11" s="163" t="s">
        <v>34</v>
      </c>
      <c r="H11" s="164"/>
      <c r="I11" s="163" t="s">
        <v>35</v>
      </c>
      <c r="J11" s="164"/>
      <c r="K11" s="160"/>
      <c r="L11" s="162"/>
      <c r="M11" s="160"/>
      <c r="N11" s="161"/>
      <c r="O11" s="162"/>
    </row>
    <row r="12" spans="1:15" ht="24" x14ac:dyDescent="0.4">
      <c r="A12" s="173" t="s">
        <v>36</v>
      </c>
      <c r="B12" s="174"/>
      <c r="C12" s="174"/>
      <c r="D12" s="174"/>
      <c r="E12" s="175"/>
      <c r="F12" s="13">
        <v>20</v>
      </c>
      <c r="G12" s="150"/>
      <c r="H12" s="152"/>
      <c r="I12" s="150"/>
      <c r="J12" s="152"/>
      <c r="K12" s="150"/>
      <c r="L12" s="152"/>
      <c r="M12" s="150"/>
      <c r="N12" s="151"/>
      <c r="O12" s="152"/>
    </row>
    <row r="13" spans="1:15" ht="24" x14ac:dyDescent="0.4">
      <c r="A13" s="165" t="s">
        <v>37</v>
      </c>
      <c r="B13" s="166"/>
      <c r="C13" s="166"/>
      <c r="D13" s="166"/>
      <c r="E13" s="167"/>
      <c r="F13" s="14">
        <v>10</v>
      </c>
      <c r="G13" s="168" t="s">
        <v>38</v>
      </c>
      <c r="H13" s="169"/>
      <c r="I13" s="168" t="s">
        <v>38</v>
      </c>
      <c r="J13" s="169"/>
      <c r="K13" s="168">
        <v>10</v>
      </c>
      <c r="L13" s="169"/>
      <c r="M13" s="168"/>
      <c r="N13" s="170"/>
      <c r="O13" s="169"/>
    </row>
    <row r="14" spans="1:15" x14ac:dyDescent="0.5">
      <c r="A14" s="12"/>
      <c r="B14" s="12"/>
      <c r="C14" s="58"/>
      <c r="D14" s="12"/>
      <c r="E14" s="12"/>
      <c r="F14" s="15"/>
      <c r="G14" s="8"/>
      <c r="H14" s="68"/>
      <c r="I14" s="8"/>
      <c r="J14" s="8"/>
      <c r="K14" s="8"/>
      <c r="L14" s="8"/>
      <c r="M14" s="8"/>
      <c r="N14" s="8"/>
      <c r="O14" s="8"/>
    </row>
    <row r="15" spans="1:15" ht="24" x14ac:dyDescent="0.4">
      <c r="A15" s="166" t="s">
        <v>39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</row>
    <row r="16" spans="1:15" ht="24" x14ac:dyDescent="0.4">
      <c r="A16" s="157" t="s">
        <v>40</v>
      </c>
      <c r="B16" s="159"/>
      <c r="C16" s="186" t="s">
        <v>41</v>
      </c>
      <c r="D16" s="178" t="s">
        <v>42</v>
      </c>
      <c r="E16" s="180"/>
      <c r="F16" s="176" t="s">
        <v>43</v>
      </c>
      <c r="G16" s="16" t="s">
        <v>44</v>
      </c>
      <c r="H16" s="171" t="s">
        <v>45</v>
      </c>
      <c r="I16" s="178" t="s">
        <v>46</v>
      </c>
      <c r="J16" s="179"/>
      <c r="K16" s="179"/>
      <c r="L16" s="179"/>
      <c r="M16" s="180"/>
      <c r="N16" s="176" t="s">
        <v>47</v>
      </c>
      <c r="O16" s="176" t="s">
        <v>48</v>
      </c>
    </row>
    <row r="17" spans="1:17" ht="24" x14ac:dyDescent="0.4">
      <c r="A17" s="160"/>
      <c r="B17" s="162"/>
      <c r="C17" s="187" t="s">
        <v>49</v>
      </c>
      <c r="D17" s="16" t="s">
        <v>50</v>
      </c>
      <c r="E17" s="16" t="s">
        <v>51</v>
      </c>
      <c r="F17" s="177"/>
      <c r="G17" s="16" t="s">
        <v>52</v>
      </c>
      <c r="H17" s="172"/>
      <c r="I17" s="16">
        <v>1</v>
      </c>
      <c r="J17" s="16">
        <v>2</v>
      </c>
      <c r="K17" s="16">
        <v>3</v>
      </c>
      <c r="L17" s="16" t="s">
        <v>53</v>
      </c>
      <c r="M17" s="16" t="s">
        <v>54</v>
      </c>
      <c r="N17" s="177"/>
      <c r="O17" s="177"/>
    </row>
    <row r="18" spans="1:17" x14ac:dyDescent="0.5">
      <c r="A18" s="181" t="s">
        <v>55</v>
      </c>
      <c r="B18" s="182"/>
      <c r="C18" s="182"/>
      <c r="D18" s="182"/>
      <c r="E18" s="182"/>
      <c r="F18" s="183"/>
      <c r="G18" s="16" t="s">
        <v>56</v>
      </c>
      <c r="H18" s="69"/>
      <c r="I18" s="17"/>
      <c r="J18" s="17"/>
      <c r="K18" s="17"/>
      <c r="L18" s="17"/>
      <c r="M18" s="17"/>
      <c r="N18" s="17"/>
      <c r="O18" s="17"/>
    </row>
    <row r="19" spans="1:17" ht="21" customHeight="1" x14ac:dyDescent="0.4">
      <c r="A19" s="184" t="s">
        <v>57</v>
      </c>
      <c r="B19" s="185"/>
      <c r="C19" s="59">
        <v>1</v>
      </c>
      <c r="D19" s="19" t="s">
        <v>58</v>
      </c>
      <c r="E19" s="19"/>
      <c r="F19" s="16" t="s">
        <v>59</v>
      </c>
      <c r="G19" s="78">
        <v>2</v>
      </c>
      <c r="H19" s="70">
        <v>3.92</v>
      </c>
      <c r="I19" s="20">
        <v>2.06</v>
      </c>
      <c r="J19" s="20">
        <v>2.41</v>
      </c>
      <c r="K19" s="20">
        <v>2.75</v>
      </c>
      <c r="L19" s="20">
        <v>3.09</v>
      </c>
      <c r="M19" s="20">
        <v>3.92</v>
      </c>
      <c r="N19" s="21">
        <f>ผลงานรวมทีม!E58</f>
        <v>4.03</v>
      </c>
      <c r="O19" s="22">
        <f t="shared" ref="O19:O53" si="0">((Q19/5)*G19)</f>
        <v>2</v>
      </c>
      <c r="P19" s="1" t="s">
        <v>60</v>
      </c>
      <c r="Q19" s="23">
        <f t="shared" ref="Q19:Q56" si="1">IF(N19=0,0,IF(N19&gt;=M19,5,IF(N19&gt;=L19,5-ABS(M19-N19)/(M19-L19),IF(N19&gt;=K19,4-ABS(L19-N19)/(L19-K19),IF(N19&gt;=J19,3-ABS(K19-N19)/(K19-J19),IF(N19&gt;=I19,2-ABS(J19-N19)/(J19-I19),1))))))</f>
        <v>5</v>
      </c>
    </row>
    <row r="20" spans="1:17" ht="21" customHeight="1" x14ac:dyDescent="0.4">
      <c r="A20" s="184" t="s">
        <v>61</v>
      </c>
      <c r="B20" s="185"/>
      <c r="C20" s="59">
        <v>2</v>
      </c>
      <c r="D20" s="24" t="s">
        <v>62</v>
      </c>
      <c r="E20" s="19"/>
      <c r="F20" s="16" t="s">
        <v>63</v>
      </c>
      <c r="G20" s="25">
        <v>2</v>
      </c>
      <c r="H20" s="71">
        <v>280</v>
      </c>
      <c r="I20" s="26">
        <v>193</v>
      </c>
      <c r="J20" s="26">
        <v>204</v>
      </c>
      <c r="K20" s="26">
        <v>248</v>
      </c>
      <c r="L20" s="26">
        <v>276</v>
      </c>
      <c r="M20" s="26">
        <v>280</v>
      </c>
      <c r="N20" s="18">
        <f>ผลงานรวมทีม!E11</f>
        <v>331</v>
      </c>
      <c r="O20" s="22">
        <f t="shared" si="0"/>
        <v>2</v>
      </c>
      <c r="Q20" s="23">
        <f t="shared" si="1"/>
        <v>5</v>
      </c>
    </row>
    <row r="21" spans="1:17" ht="21" customHeight="1" x14ac:dyDescent="0.4">
      <c r="A21" s="184" t="s">
        <v>64</v>
      </c>
      <c r="B21" s="185"/>
      <c r="C21" s="59">
        <v>2</v>
      </c>
      <c r="D21" s="24" t="s">
        <v>62</v>
      </c>
      <c r="E21" s="24"/>
      <c r="F21" s="16" t="s">
        <v>63</v>
      </c>
      <c r="G21" s="25">
        <v>2</v>
      </c>
      <c r="H21" s="70">
        <v>2</v>
      </c>
      <c r="I21" s="26">
        <v>0</v>
      </c>
      <c r="J21" s="26">
        <v>0</v>
      </c>
      <c r="K21" s="26">
        <v>0</v>
      </c>
      <c r="L21" s="26">
        <v>1</v>
      </c>
      <c r="M21" s="26">
        <v>2</v>
      </c>
      <c r="N21" s="18">
        <f>ผลงานรวมทีม!E12</f>
        <v>3</v>
      </c>
      <c r="O21" s="22">
        <f t="shared" si="0"/>
        <v>2</v>
      </c>
      <c r="Q21" s="23">
        <f t="shared" si="1"/>
        <v>5</v>
      </c>
    </row>
    <row r="22" spans="1:17" ht="21" customHeight="1" x14ac:dyDescent="0.4">
      <c r="A22" s="184" t="s">
        <v>65</v>
      </c>
      <c r="B22" s="185"/>
      <c r="C22" s="59"/>
      <c r="D22" s="24"/>
      <c r="E22" s="19"/>
      <c r="F22" s="16"/>
      <c r="G22" s="25"/>
      <c r="H22" s="70"/>
      <c r="I22" s="20"/>
      <c r="J22" s="20"/>
      <c r="K22" s="20"/>
      <c r="L22" s="20"/>
      <c r="M22" s="20"/>
      <c r="N22" s="18"/>
      <c r="O22" s="22"/>
      <c r="Q22" s="23">
        <f t="shared" si="1"/>
        <v>0</v>
      </c>
    </row>
    <row r="23" spans="1:17" ht="21" customHeight="1" x14ac:dyDescent="0.4">
      <c r="A23" s="184" t="s">
        <v>66</v>
      </c>
      <c r="B23" s="185"/>
      <c r="C23" s="59">
        <v>2</v>
      </c>
      <c r="D23" s="24" t="s">
        <v>62</v>
      </c>
      <c r="E23" s="19"/>
      <c r="F23" s="16" t="s">
        <v>59</v>
      </c>
      <c r="G23" s="79">
        <v>2.5</v>
      </c>
      <c r="H23" s="70">
        <v>8.73</v>
      </c>
      <c r="I23" s="20">
        <v>6.98</v>
      </c>
      <c r="J23" s="20">
        <v>7.42</v>
      </c>
      <c r="K23" s="20">
        <v>7.86</v>
      </c>
      <c r="L23" s="20">
        <v>8.2899999999999991</v>
      </c>
      <c r="M23" s="20">
        <v>8.73</v>
      </c>
      <c r="N23" s="18">
        <f>ผลงานรวมทีม!E14</f>
        <v>10.28</v>
      </c>
      <c r="O23" s="22">
        <f t="shared" si="0"/>
        <v>2.5</v>
      </c>
      <c r="Q23" s="23">
        <f t="shared" si="1"/>
        <v>5</v>
      </c>
    </row>
    <row r="24" spans="1:17" ht="21" customHeight="1" x14ac:dyDescent="0.4">
      <c r="A24" s="184" t="s">
        <v>67</v>
      </c>
      <c r="B24" s="185"/>
      <c r="C24" s="59">
        <v>2</v>
      </c>
      <c r="D24" s="24" t="s">
        <v>62</v>
      </c>
      <c r="E24" s="19"/>
      <c r="F24" s="16" t="s">
        <v>59</v>
      </c>
      <c r="G24" s="78">
        <v>2</v>
      </c>
      <c r="H24" s="70">
        <v>8.4499999999999993</v>
      </c>
      <c r="I24" s="20">
        <v>5.09</v>
      </c>
      <c r="J24" s="20">
        <v>5.92</v>
      </c>
      <c r="K24" s="20">
        <v>6.81</v>
      </c>
      <c r="L24" s="20">
        <v>7.61</v>
      </c>
      <c r="M24" s="20">
        <v>8.4499999999999993</v>
      </c>
      <c r="N24" s="21">
        <f>ผลงานรวมทีม!E15</f>
        <v>-204.38</v>
      </c>
      <c r="O24" s="22">
        <f t="shared" si="0"/>
        <v>0.4</v>
      </c>
      <c r="Q24" s="23">
        <f t="shared" si="1"/>
        <v>1</v>
      </c>
    </row>
    <row r="25" spans="1:17" ht="21" customHeight="1" x14ac:dyDescent="0.4">
      <c r="A25" s="181" t="s">
        <v>68</v>
      </c>
      <c r="B25" s="182"/>
      <c r="C25" s="182"/>
      <c r="D25" s="182"/>
      <c r="E25" s="182"/>
      <c r="F25" s="183"/>
      <c r="G25" s="16"/>
      <c r="H25" s="70"/>
      <c r="I25" s="20"/>
      <c r="J25" s="20"/>
      <c r="K25" s="20"/>
      <c r="L25" s="20"/>
      <c r="M25" s="20"/>
      <c r="N25" s="18"/>
      <c r="O25" s="22"/>
      <c r="Q25" s="23">
        <f t="shared" si="1"/>
        <v>0</v>
      </c>
    </row>
    <row r="26" spans="1:17" ht="21" customHeight="1" x14ac:dyDescent="0.4">
      <c r="A26" s="184" t="s">
        <v>69</v>
      </c>
      <c r="B26" s="185"/>
      <c r="C26" s="59"/>
      <c r="D26" s="19"/>
      <c r="E26" s="19"/>
      <c r="F26" s="25"/>
      <c r="G26" s="16"/>
      <c r="H26" s="70"/>
      <c r="I26" s="20"/>
      <c r="J26" s="20"/>
      <c r="K26" s="20"/>
      <c r="L26" s="20"/>
      <c r="M26" s="20"/>
      <c r="N26" s="18"/>
      <c r="O26" s="22"/>
      <c r="Q26" s="23">
        <f t="shared" si="1"/>
        <v>0</v>
      </c>
    </row>
    <row r="27" spans="1:17" ht="21" customHeight="1" x14ac:dyDescent="0.4">
      <c r="A27" s="184" t="s">
        <v>70</v>
      </c>
      <c r="B27" s="185"/>
      <c r="C27" s="59">
        <v>2</v>
      </c>
      <c r="D27" s="24" t="s">
        <v>62</v>
      </c>
      <c r="E27" s="24"/>
      <c r="F27" s="25" t="s">
        <v>71</v>
      </c>
      <c r="G27" s="16">
        <v>0.5</v>
      </c>
      <c r="H27" s="70">
        <v>85</v>
      </c>
      <c r="I27" s="20">
        <v>77</v>
      </c>
      <c r="J27" s="20">
        <v>79</v>
      </c>
      <c r="K27" s="20">
        <v>81</v>
      </c>
      <c r="L27" s="20">
        <v>83</v>
      </c>
      <c r="M27" s="20">
        <v>85</v>
      </c>
      <c r="N27" s="18">
        <f>ผลงานรวมทีม!E24</f>
        <v>97.86</v>
      </c>
      <c r="O27" s="22">
        <f t="shared" si="0"/>
        <v>0.5</v>
      </c>
      <c r="Q27" s="23">
        <f t="shared" si="1"/>
        <v>5</v>
      </c>
    </row>
    <row r="28" spans="1:17" ht="21" customHeight="1" x14ac:dyDescent="0.4">
      <c r="A28" s="184" t="s">
        <v>72</v>
      </c>
      <c r="B28" s="185"/>
      <c r="C28" s="59">
        <v>2</v>
      </c>
      <c r="D28" s="24" t="s">
        <v>62</v>
      </c>
      <c r="E28" s="24"/>
      <c r="F28" s="25" t="s">
        <v>71</v>
      </c>
      <c r="G28" s="16">
        <v>0.5</v>
      </c>
      <c r="H28" s="70">
        <v>85</v>
      </c>
      <c r="I28" s="20">
        <v>77</v>
      </c>
      <c r="J28" s="20">
        <v>79</v>
      </c>
      <c r="K28" s="20">
        <v>81</v>
      </c>
      <c r="L28" s="20">
        <v>83</v>
      </c>
      <c r="M28" s="20">
        <v>85</v>
      </c>
      <c r="N28" s="18">
        <f>ผลงานรวมทีม!E25</f>
        <v>97.99</v>
      </c>
      <c r="O28" s="22">
        <f t="shared" si="0"/>
        <v>0.5</v>
      </c>
      <c r="Q28" s="23">
        <f t="shared" si="1"/>
        <v>5</v>
      </c>
    </row>
    <row r="29" spans="1:17" ht="21" customHeight="1" x14ac:dyDescent="0.4">
      <c r="A29" s="184" t="s">
        <v>73</v>
      </c>
      <c r="B29" s="185"/>
      <c r="C29" s="59">
        <v>2</v>
      </c>
      <c r="D29" s="24" t="s">
        <v>62</v>
      </c>
      <c r="E29" s="24"/>
      <c r="F29" s="25" t="s">
        <v>71</v>
      </c>
      <c r="G29" s="16">
        <v>0.5</v>
      </c>
      <c r="H29" s="70">
        <v>85</v>
      </c>
      <c r="I29" s="20">
        <v>77</v>
      </c>
      <c r="J29" s="20">
        <v>79</v>
      </c>
      <c r="K29" s="20">
        <v>81</v>
      </c>
      <c r="L29" s="20">
        <v>83</v>
      </c>
      <c r="M29" s="20">
        <v>85</v>
      </c>
      <c r="N29" s="18">
        <f>ผลงานรวมทีม!E26</f>
        <v>86.99</v>
      </c>
      <c r="O29" s="22">
        <f t="shared" si="0"/>
        <v>0.5</v>
      </c>
      <c r="Q29" s="23">
        <f t="shared" si="1"/>
        <v>5</v>
      </c>
    </row>
    <row r="30" spans="1:17" ht="21" customHeight="1" x14ac:dyDescent="0.4">
      <c r="A30" s="184" t="s">
        <v>74</v>
      </c>
      <c r="B30" s="185"/>
      <c r="C30" s="59">
        <v>2</v>
      </c>
      <c r="D30" s="24" t="s">
        <v>62</v>
      </c>
      <c r="E30" s="24"/>
      <c r="F30" s="25" t="s">
        <v>71</v>
      </c>
      <c r="G30" s="16">
        <v>0.5</v>
      </c>
      <c r="H30" s="70">
        <v>85</v>
      </c>
      <c r="I30" s="20">
        <v>77</v>
      </c>
      <c r="J30" s="20">
        <v>79</v>
      </c>
      <c r="K30" s="20">
        <v>81</v>
      </c>
      <c r="L30" s="20">
        <v>83</v>
      </c>
      <c r="M30" s="20">
        <v>85</v>
      </c>
      <c r="N30" s="18">
        <f>ผลงานรวมทีม!E27</f>
        <v>97.53</v>
      </c>
      <c r="O30" s="22">
        <f t="shared" si="0"/>
        <v>0.5</v>
      </c>
      <c r="Q30" s="23">
        <f t="shared" si="1"/>
        <v>5</v>
      </c>
    </row>
    <row r="31" spans="1:17" ht="21" customHeight="1" x14ac:dyDescent="0.4">
      <c r="A31" s="184" t="s">
        <v>75</v>
      </c>
      <c r="B31" s="185"/>
      <c r="C31" s="59">
        <v>2</v>
      </c>
      <c r="D31" s="24" t="s">
        <v>62</v>
      </c>
      <c r="E31" s="24"/>
      <c r="F31" s="25" t="s">
        <v>71</v>
      </c>
      <c r="G31" s="16">
        <v>0.5</v>
      </c>
      <c r="H31" s="70">
        <v>85</v>
      </c>
      <c r="I31" s="20">
        <v>77</v>
      </c>
      <c r="J31" s="20">
        <v>79</v>
      </c>
      <c r="K31" s="20">
        <v>81</v>
      </c>
      <c r="L31" s="20">
        <v>83</v>
      </c>
      <c r="M31" s="20">
        <v>85</v>
      </c>
      <c r="N31" s="18">
        <f>ผลงานรวมทีม!E28</f>
        <v>98.13</v>
      </c>
      <c r="O31" s="22">
        <f t="shared" si="0"/>
        <v>0.5</v>
      </c>
      <c r="Q31" s="23">
        <f t="shared" si="1"/>
        <v>5</v>
      </c>
    </row>
    <row r="32" spans="1:17" ht="21" customHeight="1" x14ac:dyDescent="0.4">
      <c r="A32" s="184" t="s">
        <v>76</v>
      </c>
      <c r="B32" s="185"/>
      <c r="C32" s="59">
        <v>2</v>
      </c>
      <c r="D32" s="24" t="s">
        <v>62</v>
      </c>
      <c r="E32" s="24"/>
      <c r="F32" s="25" t="s">
        <v>71</v>
      </c>
      <c r="G32" s="16">
        <v>0.5</v>
      </c>
      <c r="H32" s="70">
        <v>85</v>
      </c>
      <c r="I32" s="102">
        <v>82</v>
      </c>
      <c r="J32" s="102">
        <v>84</v>
      </c>
      <c r="K32" s="102">
        <v>86</v>
      </c>
      <c r="L32" s="102">
        <v>88</v>
      </c>
      <c r="M32" s="102">
        <v>90</v>
      </c>
      <c r="N32" s="18">
        <v>93.47</v>
      </c>
      <c r="O32" s="22">
        <f t="shared" si="0"/>
        <v>0.5</v>
      </c>
      <c r="Q32" s="23">
        <f t="shared" si="1"/>
        <v>5</v>
      </c>
    </row>
    <row r="33" spans="1:17" ht="21" customHeight="1" x14ac:dyDescent="0.4">
      <c r="A33" s="184" t="s">
        <v>77</v>
      </c>
      <c r="B33" s="185"/>
      <c r="C33" s="59"/>
      <c r="D33" s="24" t="s">
        <v>62</v>
      </c>
      <c r="E33" s="24"/>
      <c r="F33" s="25"/>
      <c r="G33" s="16"/>
      <c r="H33" s="70"/>
      <c r="I33" s="20"/>
      <c r="J33" s="20"/>
      <c r="K33" s="20"/>
      <c r="L33" s="20"/>
      <c r="M33" s="20"/>
      <c r="N33" s="18"/>
      <c r="O33" s="22"/>
      <c r="Q33" s="23">
        <f t="shared" si="1"/>
        <v>0</v>
      </c>
    </row>
    <row r="34" spans="1:17" ht="21" customHeight="1" x14ac:dyDescent="0.4">
      <c r="A34" s="184" t="s">
        <v>78</v>
      </c>
      <c r="B34" s="185"/>
      <c r="C34" s="59">
        <v>2</v>
      </c>
      <c r="D34" s="24" t="s">
        <v>62</v>
      </c>
      <c r="E34" s="24"/>
      <c r="F34" s="25" t="s">
        <v>71</v>
      </c>
      <c r="G34" s="16">
        <v>0.5</v>
      </c>
      <c r="H34" s="70">
        <v>90</v>
      </c>
      <c r="I34" s="20">
        <v>82</v>
      </c>
      <c r="J34" s="20">
        <v>84</v>
      </c>
      <c r="K34" s="20">
        <v>86</v>
      </c>
      <c r="L34" s="20">
        <v>88</v>
      </c>
      <c r="M34" s="20">
        <v>90</v>
      </c>
      <c r="N34" s="18">
        <f>ผลงานรวมทีม!E35</f>
        <v>100</v>
      </c>
      <c r="O34" s="22">
        <f t="shared" ref="O34:O39" si="2">((Q34/5)*G34)</f>
        <v>0.5</v>
      </c>
      <c r="Q34" s="23">
        <f t="shared" si="1"/>
        <v>5</v>
      </c>
    </row>
    <row r="35" spans="1:17" ht="21" customHeight="1" x14ac:dyDescent="0.4">
      <c r="A35" s="184" t="s">
        <v>79</v>
      </c>
      <c r="B35" s="185"/>
      <c r="C35" s="59">
        <v>2</v>
      </c>
      <c r="D35" s="24" t="s">
        <v>62</v>
      </c>
      <c r="E35" s="24"/>
      <c r="F35" s="25" t="s">
        <v>71</v>
      </c>
      <c r="G35" s="16">
        <v>0.5</v>
      </c>
      <c r="H35" s="70">
        <v>90</v>
      </c>
      <c r="I35" s="20">
        <v>82</v>
      </c>
      <c r="J35" s="20">
        <v>84</v>
      </c>
      <c r="K35" s="20">
        <v>86</v>
      </c>
      <c r="L35" s="20">
        <v>88</v>
      </c>
      <c r="M35" s="20">
        <v>90</v>
      </c>
      <c r="N35" s="18">
        <f>ผลงานรวมทีม!E36</f>
        <v>100</v>
      </c>
      <c r="O35" s="22">
        <f t="shared" si="2"/>
        <v>0.5</v>
      </c>
      <c r="Q35" s="23">
        <f t="shared" si="1"/>
        <v>5</v>
      </c>
    </row>
    <row r="36" spans="1:17" ht="21" customHeight="1" x14ac:dyDescent="0.4">
      <c r="A36" s="184" t="s">
        <v>80</v>
      </c>
      <c r="B36" s="185"/>
      <c r="C36" s="59">
        <v>2</v>
      </c>
      <c r="D36" s="24" t="s">
        <v>62</v>
      </c>
      <c r="E36" s="24"/>
      <c r="F36" s="25" t="s">
        <v>71</v>
      </c>
      <c r="G36" s="16">
        <v>0.5</v>
      </c>
      <c r="H36" s="70">
        <v>90</v>
      </c>
      <c r="I36" s="20">
        <v>82</v>
      </c>
      <c r="J36" s="20">
        <v>84</v>
      </c>
      <c r="K36" s="20">
        <v>86</v>
      </c>
      <c r="L36" s="20">
        <v>88</v>
      </c>
      <c r="M36" s="20">
        <v>90</v>
      </c>
      <c r="N36" s="18">
        <f>ผลงานรวมทีม!E37</f>
        <v>100</v>
      </c>
      <c r="O36" s="22">
        <f t="shared" si="2"/>
        <v>0.5</v>
      </c>
      <c r="Q36" s="23">
        <f t="shared" si="1"/>
        <v>5</v>
      </c>
    </row>
    <row r="37" spans="1:17" ht="21" customHeight="1" x14ac:dyDescent="0.4">
      <c r="A37" s="184" t="s">
        <v>81</v>
      </c>
      <c r="B37" s="185"/>
      <c r="C37" s="59">
        <v>2</v>
      </c>
      <c r="D37" s="24" t="s">
        <v>62</v>
      </c>
      <c r="E37" s="24"/>
      <c r="F37" s="25" t="s">
        <v>71</v>
      </c>
      <c r="G37" s="16">
        <v>0.5</v>
      </c>
      <c r="H37" s="70">
        <v>90</v>
      </c>
      <c r="I37" s="20">
        <v>82</v>
      </c>
      <c r="J37" s="20">
        <v>84</v>
      </c>
      <c r="K37" s="20">
        <v>86</v>
      </c>
      <c r="L37" s="20">
        <v>88</v>
      </c>
      <c r="M37" s="20">
        <v>90</v>
      </c>
      <c r="N37" s="18">
        <f>ผลงานรวมทีม!E38</f>
        <v>100</v>
      </c>
      <c r="O37" s="22">
        <f t="shared" si="2"/>
        <v>0.5</v>
      </c>
      <c r="Q37" s="23">
        <f t="shared" si="1"/>
        <v>5</v>
      </c>
    </row>
    <row r="38" spans="1:17" ht="21" customHeight="1" x14ac:dyDescent="0.4">
      <c r="A38" s="184" t="s">
        <v>82</v>
      </c>
      <c r="B38" s="185"/>
      <c r="C38" s="59">
        <v>2</v>
      </c>
      <c r="D38" s="24" t="s">
        <v>62</v>
      </c>
      <c r="E38" s="24"/>
      <c r="F38" s="25" t="s">
        <v>71</v>
      </c>
      <c r="G38" s="16">
        <v>0.5</v>
      </c>
      <c r="H38" s="70">
        <v>90</v>
      </c>
      <c r="I38" s="20">
        <v>82</v>
      </c>
      <c r="J38" s="20">
        <v>84</v>
      </c>
      <c r="K38" s="20">
        <v>86</v>
      </c>
      <c r="L38" s="20">
        <v>88</v>
      </c>
      <c r="M38" s="20">
        <v>90</v>
      </c>
      <c r="N38" s="18">
        <f>ผลงานรวมทีม!E39</f>
        <v>99.79</v>
      </c>
      <c r="O38" s="22">
        <f t="shared" si="2"/>
        <v>0.5</v>
      </c>
      <c r="Q38" s="23">
        <f t="shared" si="1"/>
        <v>5</v>
      </c>
    </row>
    <row r="39" spans="1:17" ht="21" customHeight="1" x14ac:dyDescent="0.4">
      <c r="A39" s="184" t="s">
        <v>83</v>
      </c>
      <c r="B39" s="185"/>
      <c r="C39" s="59">
        <v>2</v>
      </c>
      <c r="D39" s="24" t="s">
        <v>62</v>
      </c>
      <c r="E39" s="24"/>
      <c r="F39" s="25" t="s">
        <v>71</v>
      </c>
      <c r="G39" s="16">
        <v>0.5</v>
      </c>
      <c r="H39" s="70">
        <v>90</v>
      </c>
      <c r="I39" s="20">
        <v>82</v>
      </c>
      <c r="J39" s="20">
        <v>84</v>
      </c>
      <c r="K39" s="20">
        <v>86</v>
      </c>
      <c r="L39" s="20">
        <v>88</v>
      </c>
      <c r="M39" s="20">
        <v>90</v>
      </c>
      <c r="N39" s="18">
        <f>ผลงานรวมทีม!E40</f>
        <v>99.88</v>
      </c>
      <c r="O39" s="22">
        <f t="shared" si="2"/>
        <v>0.5</v>
      </c>
      <c r="Q39" s="23">
        <f t="shared" si="1"/>
        <v>5</v>
      </c>
    </row>
    <row r="40" spans="1:17" ht="21" customHeight="1" x14ac:dyDescent="0.4">
      <c r="A40" s="184" t="s">
        <v>84</v>
      </c>
      <c r="B40" s="185"/>
      <c r="C40" s="59"/>
      <c r="D40" s="24"/>
      <c r="E40" s="24"/>
      <c r="F40" s="25"/>
      <c r="G40" s="16"/>
      <c r="H40" s="70"/>
      <c r="I40" s="20"/>
      <c r="J40" s="20"/>
      <c r="K40" s="20"/>
      <c r="L40" s="20"/>
      <c r="M40" s="20"/>
      <c r="N40" s="18"/>
      <c r="O40" s="22"/>
      <c r="Q40" s="23">
        <f t="shared" si="1"/>
        <v>0</v>
      </c>
    </row>
    <row r="41" spans="1:17" ht="21" customHeight="1" x14ac:dyDescent="0.4">
      <c r="A41" s="184" t="s">
        <v>85</v>
      </c>
      <c r="B41" s="185"/>
      <c r="C41" s="59">
        <v>2</v>
      </c>
      <c r="D41" s="24" t="s">
        <v>62</v>
      </c>
      <c r="E41" s="24"/>
      <c r="F41" s="25" t="s">
        <v>71</v>
      </c>
      <c r="G41" s="16">
        <v>0.5</v>
      </c>
      <c r="H41" s="70">
        <v>98.5</v>
      </c>
      <c r="I41" s="20">
        <v>94.5</v>
      </c>
      <c r="J41" s="20">
        <v>95.5</v>
      </c>
      <c r="K41" s="20">
        <v>96.5</v>
      </c>
      <c r="L41" s="20">
        <v>97.5</v>
      </c>
      <c r="M41" s="20">
        <v>98.5</v>
      </c>
      <c r="N41" s="18">
        <f>ผลงานรวมทีม!E48</f>
        <v>100</v>
      </c>
      <c r="O41" s="22">
        <f t="shared" si="0"/>
        <v>0.5</v>
      </c>
      <c r="Q41" s="23">
        <f t="shared" si="1"/>
        <v>5</v>
      </c>
    </row>
    <row r="42" spans="1:17" ht="21" customHeight="1" x14ac:dyDescent="0.4">
      <c r="A42" s="184" t="s">
        <v>86</v>
      </c>
      <c r="B42" s="185"/>
      <c r="C42" s="59">
        <v>2</v>
      </c>
      <c r="D42" s="24" t="s">
        <v>62</v>
      </c>
      <c r="E42" s="24"/>
      <c r="F42" s="25" t="s">
        <v>71</v>
      </c>
      <c r="G42" s="16">
        <v>0.5</v>
      </c>
      <c r="H42" s="70">
        <v>98.5</v>
      </c>
      <c r="I42" s="20">
        <v>94.5</v>
      </c>
      <c r="J42" s="20">
        <v>95.5</v>
      </c>
      <c r="K42" s="20">
        <v>96.5</v>
      </c>
      <c r="L42" s="20">
        <v>97.5</v>
      </c>
      <c r="M42" s="20">
        <v>98.5</v>
      </c>
      <c r="N42" s="18">
        <f>ผลงานรวมทีม!E49</f>
        <v>100</v>
      </c>
      <c r="O42" s="22">
        <f t="shared" si="0"/>
        <v>0.5</v>
      </c>
      <c r="Q42" s="23">
        <f t="shared" si="1"/>
        <v>5</v>
      </c>
    </row>
    <row r="43" spans="1:17" ht="21" customHeight="1" x14ac:dyDescent="0.4">
      <c r="A43" s="184" t="s">
        <v>87</v>
      </c>
      <c r="B43" s="185"/>
      <c r="C43" s="59">
        <v>2</v>
      </c>
      <c r="D43" s="24" t="s">
        <v>62</v>
      </c>
      <c r="E43" s="24"/>
      <c r="F43" s="25" t="s">
        <v>71</v>
      </c>
      <c r="G43" s="16">
        <v>0.5</v>
      </c>
      <c r="H43" s="70">
        <v>98.5</v>
      </c>
      <c r="I43" s="20">
        <v>94.5</v>
      </c>
      <c r="J43" s="20">
        <v>95.5</v>
      </c>
      <c r="K43" s="20">
        <v>96.5</v>
      </c>
      <c r="L43" s="20">
        <v>97.5</v>
      </c>
      <c r="M43" s="20">
        <v>98.5</v>
      </c>
      <c r="N43" s="18">
        <f>ผลงานรวมทีม!E50</f>
        <v>99.95</v>
      </c>
      <c r="O43" s="22">
        <f t="shared" si="0"/>
        <v>0.5</v>
      </c>
      <c r="Q43" s="23">
        <f t="shared" si="1"/>
        <v>5</v>
      </c>
    </row>
    <row r="44" spans="1:17" ht="21" customHeight="1" x14ac:dyDescent="0.4">
      <c r="A44" s="184" t="s">
        <v>88</v>
      </c>
      <c r="B44" s="185"/>
      <c r="C44" s="59">
        <v>2</v>
      </c>
      <c r="D44" s="24" t="s">
        <v>62</v>
      </c>
      <c r="E44" s="24"/>
      <c r="F44" s="25" t="s">
        <v>71</v>
      </c>
      <c r="G44" s="16">
        <v>0.5</v>
      </c>
      <c r="H44" s="70">
        <v>98.5</v>
      </c>
      <c r="I44" s="20">
        <v>94.5</v>
      </c>
      <c r="J44" s="20">
        <v>95.5</v>
      </c>
      <c r="K44" s="20">
        <v>96.5</v>
      </c>
      <c r="L44" s="20">
        <v>97.5</v>
      </c>
      <c r="M44" s="20">
        <v>98.5</v>
      </c>
      <c r="N44" s="18">
        <f>ผลงานรวมทีม!E51</f>
        <v>100</v>
      </c>
      <c r="O44" s="22">
        <f t="shared" si="0"/>
        <v>0.5</v>
      </c>
      <c r="Q44" s="23">
        <f t="shared" si="1"/>
        <v>5</v>
      </c>
    </row>
    <row r="45" spans="1:17" ht="21" customHeight="1" x14ac:dyDescent="0.4">
      <c r="A45" s="184" t="s">
        <v>89</v>
      </c>
      <c r="B45" s="185"/>
      <c r="C45" s="59">
        <v>2</v>
      </c>
      <c r="D45" s="24" t="s">
        <v>62</v>
      </c>
      <c r="E45" s="24"/>
      <c r="F45" s="25" t="s">
        <v>71</v>
      </c>
      <c r="G45" s="16">
        <v>0.5</v>
      </c>
      <c r="H45" s="70">
        <v>98.5</v>
      </c>
      <c r="I45" s="20">
        <v>94.5</v>
      </c>
      <c r="J45" s="20">
        <v>95.5</v>
      </c>
      <c r="K45" s="20">
        <v>96.5</v>
      </c>
      <c r="L45" s="20">
        <v>97.5</v>
      </c>
      <c r="M45" s="20">
        <v>98.5</v>
      </c>
      <c r="N45" s="18">
        <f>ผลงานรวมทีม!E52</f>
        <v>100</v>
      </c>
      <c r="O45" s="22">
        <f t="shared" si="0"/>
        <v>0.5</v>
      </c>
      <c r="Q45" s="23">
        <f t="shared" si="1"/>
        <v>5</v>
      </c>
    </row>
    <row r="46" spans="1:17" ht="21" customHeight="1" x14ac:dyDescent="0.4">
      <c r="A46" s="184" t="s">
        <v>90</v>
      </c>
      <c r="B46" s="185"/>
      <c r="C46" s="59">
        <v>2</v>
      </c>
      <c r="D46" s="24" t="s">
        <v>62</v>
      </c>
      <c r="E46" s="24"/>
      <c r="F46" s="25" t="s">
        <v>71</v>
      </c>
      <c r="G46" s="16">
        <v>0.5</v>
      </c>
      <c r="H46" s="70">
        <v>98.5</v>
      </c>
      <c r="I46" s="20">
        <v>94.5</v>
      </c>
      <c r="J46" s="20">
        <v>95.5</v>
      </c>
      <c r="K46" s="20">
        <v>96.5</v>
      </c>
      <c r="L46" s="20">
        <v>97.5</v>
      </c>
      <c r="M46" s="20">
        <v>98.5</v>
      </c>
      <c r="N46" s="18">
        <f>ผลงานรวมทีม!E53</f>
        <v>97.84</v>
      </c>
      <c r="O46" s="22">
        <f t="shared" si="0"/>
        <v>0.43400000000000033</v>
      </c>
      <c r="Q46" s="23">
        <f t="shared" si="1"/>
        <v>4.3400000000000034</v>
      </c>
    </row>
    <row r="47" spans="1:17" ht="21" customHeight="1" x14ac:dyDescent="0.4">
      <c r="A47" s="184" t="s">
        <v>91</v>
      </c>
      <c r="B47" s="185"/>
      <c r="C47" s="59">
        <v>2</v>
      </c>
      <c r="D47" s="24" t="s">
        <v>62</v>
      </c>
      <c r="E47" s="24"/>
      <c r="F47" s="25" t="s">
        <v>71</v>
      </c>
      <c r="G47" s="25">
        <v>2</v>
      </c>
      <c r="H47" s="70">
        <v>65</v>
      </c>
      <c r="I47" s="20">
        <v>45</v>
      </c>
      <c r="J47" s="20">
        <v>50</v>
      </c>
      <c r="K47" s="20">
        <v>55</v>
      </c>
      <c r="L47" s="20">
        <v>60</v>
      </c>
      <c r="M47" s="20">
        <v>65</v>
      </c>
      <c r="N47" s="18">
        <f>ผลงานรวมทีม!E61</f>
        <v>64.64</v>
      </c>
      <c r="O47" s="22">
        <f t="shared" si="0"/>
        <v>1.9712000000000001</v>
      </c>
      <c r="Q47" s="23">
        <f t="shared" si="1"/>
        <v>4.9279999999999999</v>
      </c>
    </row>
    <row r="48" spans="1:17" ht="21" customHeight="1" x14ac:dyDescent="0.4">
      <c r="A48" s="184" t="s">
        <v>92</v>
      </c>
      <c r="B48" s="185"/>
      <c r="C48" s="59">
        <v>2</v>
      </c>
      <c r="D48" s="24" t="s">
        <v>62</v>
      </c>
      <c r="E48" s="24"/>
      <c r="F48" s="25" t="s">
        <v>59</v>
      </c>
      <c r="G48" s="25">
        <v>2</v>
      </c>
      <c r="H48" s="70">
        <v>7.02</v>
      </c>
      <c r="I48" s="20">
        <v>5.9</v>
      </c>
      <c r="J48" s="20">
        <v>6.18</v>
      </c>
      <c r="K48" s="20">
        <v>6.46</v>
      </c>
      <c r="L48" s="20">
        <v>6.74</v>
      </c>
      <c r="M48" s="20">
        <v>7.02</v>
      </c>
      <c r="N48" s="18">
        <f>ผลงานรวมทีม!E55</f>
        <v>6.78</v>
      </c>
      <c r="O48" s="22">
        <f t="shared" si="0"/>
        <v>1.6571428571428573</v>
      </c>
      <c r="Q48" s="23">
        <f t="shared" si="1"/>
        <v>4.1428571428571432</v>
      </c>
    </row>
    <row r="49" spans="1:17" ht="21" customHeight="1" x14ac:dyDescent="0.4">
      <c r="A49" s="184" t="s">
        <v>93</v>
      </c>
      <c r="B49" s="185"/>
      <c r="C49" s="59">
        <v>2</v>
      </c>
      <c r="D49" s="24" t="s">
        <v>62</v>
      </c>
      <c r="E49" s="24"/>
      <c r="F49" s="25" t="s">
        <v>71</v>
      </c>
      <c r="G49" s="25">
        <v>2</v>
      </c>
      <c r="H49" s="70">
        <v>80</v>
      </c>
      <c r="I49" s="20">
        <v>68</v>
      </c>
      <c r="J49" s="20">
        <v>71</v>
      </c>
      <c r="K49" s="20">
        <v>74</v>
      </c>
      <c r="L49" s="20">
        <v>77</v>
      </c>
      <c r="M49" s="20">
        <v>80</v>
      </c>
      <c r="N49" s="18">
        <f>ผลงานรวมทีม!E54</f>
        <v>116.06</v>
      </c>
      <c r="O49" s="22">
        <f t="shared" si="0"/>
        <v>2</v>
      </c>
      <c r="Q49" s="23">
        <f t="shared" si="1"/>
        <v>5</v>
      </c>
    </row>
    <row r="50" spans="1:17" ht="21" customHeight="1" x14ac:dyDescent="0.4">
      <c r="A50" s="184" t="s">
        <v>94</v>
      </c>
      <c r="B50" s="185"/>
      <c r="C50" s="59">
        <v>5</v>
      </c>
      <c r="D50" s="24" t="s">
        <v>62</v>
      </c>
      <c r="E50" s="24"/>
      <c r="F50" s="25" t="s">
        <v>59</v>
      </c>
      <c r="G50" s="25">
        <v>2</v>
      </c>
      <c r="H50" s="70">
        <v>20.95</v>
      </c>
      <c r="I50" s="20">
        <v>23.46</v>
      </c>
      <c r="J50" s="20">
        <v>22.65</v>
      </c>
      <c r="K50" s="20">
        <v>22</v>
      </c>
      <c r="L50" s="20">
        <v>21.35</v>
      </c>
      <c r="M50" s="20">
        <v>20.95</v>
      </c>
      <c r="N50" s="18">
        <f>ผลงานรวมทีม!E56</f>
        <v>10.43</v>
      </c>
      <c r="O50" s="22">
        <f>((Q50/5)*G50)</f>
        <v>2</v>
      </c>
      <c r="Q50" s="23">
        <f>IF(N50&lt;=M50,5,IF(N50&lt;=L50,5-ABS(N50-M50)/(L50-M50),IF(N50&lt;=K50,4-ABS(N50-L50)/(K50-L50),IF(N50&lt;=J50,3-ABS(N50-K50)/(J50-K50),IF(N50&lt;=I50,2-ABS(N50-J50)/(I50-J50),1)))))</f>
        <v>5</v>
      </c>
    </row>
    <row r="51" spans="1:17" ht="21" customHeight="1" x14ac:dyDescent="0.5">
      <c r="A51" s="184"/>
      <c r="B51" s="185"/>
      <c r="C51" s="59"/>
      <c r="D51" s="24"/>
      <c r="E51" s="24"/>
      <c r="F51" s="27"/>
      <c r="G51" s="16"/>
      <c r="H51" s="72"/>
      <c r="I51" s="18"/>
      <c r="J51" s="18"/>
      <c r="K51" s="18"/>
      <c r="L51" s="18"/>
      <c r="M51" s="18"/>
      <c r="N51" s="18"/>
      <c r="O51" s="22"/>
      <c r="Q51" s="23">
        <f t="shared" si="1"/>
        <v>0</v>
      </c>
    </row>
    <row r="52" spans="1:17" x14ac:dyDescent="0.5">
      <c r="A52" s="181" t="s">
        <v>95</v>
      </c>
      <c r="B52" s="182"/>
      <c r="C52" s="182"/>
      <c r="D52" s="182"/>
      <c r="E52" s="182"/>
      <c r="F52" s="183"/>
      <c r="G52" s="16" t="s">
        <v>56</v>
      </c>
      <c r="H52" s="69"/>
      <c r="I52" s="17"/>
      <c r="J52" s="17"/>
      <c r="K52" s="17"/>
      <c r="L52" s="17"/>
      <c r="M52" s="17"/>
      <c r="N52" s="18"/>
      <c r="O52" s="22"/>
      <c r="Q52" s="23">
        <f t="shared" si="1"/>
        <v>0</v>
      </c>
    </row>
    <row r="53" spans="1:17" ht="21" customHeight="1" x14ac:dyDescent="0.4">
      <c r="A53" s="184" t="s">
        <v>96</v>
      </c>
      <c r="B53" s="185"/>
      <c r="C53" s="59"/>
      <c r="D53" s="19" t="s">
        <v>58</v>
      </c>
      <c r="E53" s="19"/>
      <c r="F53" s="25" t="s">
        <v>97</v>
      </c>
      <c r="G53" s="16">
        <v>0.5</v>
      </c>
      <c r="H53" s="71">
        <v>9</v>
      </c>
      <c r="I53" s="26">
        <v>5</v>
      </c>
      <c r="J53" s="26">
        <v>6</v>
      </c>
      <c r="K53" s="26">
        <v>7</v>
      </c>
      <c r="L53" s="26">
        <v>8</v>
      </c>
      <c r="M53" s="26">
        <v>9</v>
      </c>
      <c r="N53" s="18">
        <v>9</v>
      </c>
      <c r="O53" s="22">
        <f t="shared" si="0"/>
        <v>0.5</v>
      </c>
      <c r="Q53" s="23">
        <f t="shared" si="1"/>
        <v>5</v>
      </c>
    </row>
    <row r="54" spans="1:17" ht="21" customHeight="1" x14ac:dyDescent="0.4">
      <c r="A54" s="184" t="s">
        <v>98</v>
      </c>
      <c r="B54" s="185"/>
      <c r="C54" s="60"/>
      <c r="D54" s="28"/>
      <c r="E54" s="19" t="s">
        <v>58</v>
      </c>
      <c r="F54" s="29" t="s">
        <v>97</v>
      </c>
      <c r="G54" s="30">
        <v>2</v>
      </c>
      <c r="H54" s="73">
        <v>0</v>
      </c>
      <c r="I54" s="31">
        <v>5</v>
      </c>
      <c r="J54" s="31">
        <v>5</v>
      </c>
      <c r="K54" s="31">
        <v>4</v>
      </c>
      <c r="L54" s="31">
        <v>3</v>
      </c>
      <c r="M54" s="31">
        <v>0</v>
      </c>
      <c r="N54" s="18">
        <v>0</v>
      </c>
      <c r="O54" s="22">
        <f>((Q54/5)*G54)</f>
        <v>2</v>
      </c>
      <c r="Q54" s="23">
        <f>IF(N54&lt;=M54,5,IF(N54&lt;=L54,5-ABS(N54-M54)/(L54-M54),IF(N54&lt;=K54,4-ABS(N54-L54)/(K54-L54),IF(N54&lt;=J54,3-ABS(N54-K54)/(J54-K54),IF(N54&lt;=I54,2-ABS(N54-J54)/(I54-J54),1)))))</f>
        <v>5</v>
      </c>
    </row>
    <row r="55" spans="1:17" ht="27" customHeight="1" x14ac:dyDescent="0.4">
      <c r="A55" s="191" t="s">
        <v>99</v>
      </c>
      <c r="B55" s="192"/>
      <c r="C55" s="61">
        <v>5</v>
      </c>
      <c r="D55" s="19"/>
      <c r="E55" s="19" t="s">
        <v>58</v>
      </c>
      <c r="F55" s="25" t="s">
        <v>71</v>
      </c>
      <c r="G55" s="32">
        <v>5</v>
      </c>
      <c r="H55" s="74">
        <v>100</v>
      </c>
      <c r="I55" s="33">
        <v>96</v>
      </c>
      <c r="J55" s="33">
        <v>97</v>
      </c>
      <c r="K55" s="33">
        <v>98</v>
      </c>
      <c r="L55" s="33">
        <v>99</v>
      </c>
      <c r="M55" s="33">
        <v>100</v>
      </c>
      <c r="N55" s="19">
        <v>99</v>
      </c>
      <c r="O55" s="104">
        <f t="shared" ref="O55" si="3">((Q55/5)*G55)</f>
        <v>4</v>
      </c>
      <c r="Q55" s="23">
        <f t="shared" si="1"/>
        <v>4</v>
      </c>
    </row>
    <row r="56" spans="1:17" x14ac:dyDescent="0.5">
      <c r="A56" s="184"/>
      <c r="B56" s="185"/>
      <c r="C56" s="62"/>
      <c r="D56" s="28"/>
      <c r="E56" s="28"/>
      <c r="F56" s="28"/>
      <c r="G56" s="30">
        <f>SUM(G19:G55)</f>
        <v>35</v>
      </c>
      <c r="H56" s="75"/>
      <c r="I56" s="28"/>
      <c r="J56" s="28"/>
      <c r="K56" s="28"/>
      <c r="L56" s="28"/>
      <c r="M56" s="28"/>
      <c r="N56" s="28"/>
      <c r="O56" s="22"/>
      <c r="Q56" s="23">
        <f t="shared" si="1"/>
        <v>0</v>
      </c>
    </row>
    <row r="57" spans="1:17" ht="27" x14ac:dyDescent="0.45">
      <c r="A57" s="188" t="s">
        <v>100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90"/>
      <c r="O57" s="34">
        <f>SUM(O18:O56)</f>
        <v>31.962342857142858</v>
      </c>
    </row>
    <row r="58" spans="1:17" ht="33" x14ac:dyDescent="0.55000000000000004">
      <c r="A58" s="193" t="s">
        <v>101</v>
      </c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5"/>
      <c r="O58" s="35"/>
    </row>
    <row r="59" spans="1:17" x14ac:dyDescent="0.5">
      <c r="A59" s="2" t="s">
        <v>102</v>
      </c>
      <c r="B59" s="2"/>
      <c r="C59" s="56" t="s">
        <v>103</v>
      </c>
    </row>
    <row r="61" spans="1:17" ht="199.5" customHeight="1" x14ac:dyDescent="0.5"/>
    <row r="62" spans="1:17" ht="36" x14ac:dyDescent="0.6">
      <c r="A62" s="196" t="s">
        <v>104</v>
      </c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</row>
    <row r="63" spans="1:17" ht="36" x14ac:dyDescent="0.6">
      <c r="A63" s="39"/>
      <c r="B63" s="39"/>
      <c r="C63" s="63"/>
      <c r="D63" s="39"/>
      <c r="E63" s="39"/>
      <c r="F63" s="39"/>
      <c r="G63" s="39"/>
      <c r="H63" s="68"/>
      <c r="I63" s="39"/>
      <c r="J63" s="39"/>
      <c r="K63" s="39"/>
      <c r="L63" s="39"/>
      <c r="M63" s="39"/>
      <c r="N63" s="39"/>
      <c r="O63" s="39"/>
    </row>
    <row r="64" spans="1:17" x14ac:dyDescent="0.5">
      <c r="A64" s="2" t="s">
        <v>105</v>
      </c>
      <c r="B64" s="2" t="str">
        <f>B4</f>
        <v>นายภิชฌา ไทรทอง</v>
      </c>
      <c r="C64" s="56" t="s">
        <v>106</v>
      </c>
      <c r="D64" s="40">
        <f>D4</f>
        <v>6000261</v>
      </c>
      <c r="E64" s="2"/>
      <c r="F64" s="2" t="s">
        <v>2</v>
      </c>
      <c r="G64" s="2" t="str">
        <f>B5</f>
        <v>หัวหน้าหน่วยอำเภอ</v>
      </c>
      <c r="I64" s="41"/>
      <c r="J64" s="41"/>
      <c r="K64" s="41"/>
      <c r="L64" s="41"/>
      <c r="M64" s="41"/>
      <c r="N64" s="41"/>
      <c r="O64" s="41"/>
    </row>
    <row r="65" spans="1:15" x14ac:dyDescent="0.5">
      <c r="A65" s="2" t="s">
        <v>107</v>
      </c>
      <c r="B65" s="2" t="str">
        <f>B6</f>
        <v>ลำพญากลาง</v>
      </c>
      <c r="C65" s="56" t="str">
        <f>D6</f>
        <v>สระบุรี</v>
      </c>
      <c r="E65" s="2" t="s">
        <v>108</v>
      </c>
      <c r="F65" s="1" t="s">
        <v>108</v>
      </c>
      <c r="I65" s="42"/>
      <c r="J65" s="42"/>
      <c r="K65" s="42"/>
      <c r="L65" s="42"/>
      <c r="M65" s="42"/>
      <c r="N65" s="42"/>
      <c r="O65" s="42"/>
    </row>
    <row r="67" spans="1:15" ht="27" x14ac:dyDescent="0.45">
      <c r="A67" s="197" t="s">
        <v>109</v>
      </c>
      <c r="B67" s="198"/>
      <c r="C67" s="199"/>
      <c r="D67" s="197" t="s">
        <v>43</v>
      </c>
      <c r="E67" s="198"/>
      <c r="F67" s="199"/>
      <c r="G67" s="43" t="s">
        <v>44</v>
      </c>
      <c r="H67" s="203" t="s">
        <v>45</v>
      </c>
      <c r="I67" s="188" t="s">
        <v>46</v>
      </c>
      <c r="J67" s="189"/>
      <c r="K67" s="189"/>
      <c r="L67" s="189"/>
      <c r="M67" s="190"/>
      <c r="N67" s="176" t="s">
        <v>47</v>
      </c>
      <c r="O67" s="176" t="s">
        <v>48</v>
      </c>
    </row>
    <row r="68" spans="1:15" ht="27" x14ac:dyDescent="0.45">
      <c r="A68" s="200"/>
      <c r="B68" s="201"/>
      <c r="C68" s="202"/>
      <c r="D68" s="200"/>
      <c r="E68" s="201"/>
      <c r="F68" s="202"/>
      <c r="G68" s="44" t="s">
        <v>52</v>
      </c>
      <c r="H68" s="204"/>
      <c r="I68" s="45">
        <v>1</v>
      </c>
      <c r="J68" s="45">
        <v>2</v>
      </c>
      <c r="K68" s="45">
        <v>3</v>
      </c>
      <c r="L68" s="45" t="s">
        <v>53</v>
      </c>
      <c r="M68" s="45" t="s">
        <v>54</v>
      </c>
      <c r="N68" s="177"/>
      <c r="O68" s="177"/>
    </row>
    <row r="69" spans="1:15" ht="24" x14ac:dyDescent="0.4">
      <c r="A69" s="181" t="s">
        <v>110</v>
      </c>
      <c r="B69" s="182"/>
      <c r="C69" s="182"/>
      <c r="D69" s="208" t="s">
        <v>111</v>
      </c>
      <c r="E69" s="209"/>
      <c r="F69" s="210"/>
      <c r="G69" s="16">
        <v>7.5</v>
      </c>
      <c r="H69" s="49" t="s">
        <v>112</v>
      </c>
      <c r="I69" s="49" t="s">
        <v>112</v>
      </c>
      <c r="J69" s="49" t="s">
        <v>112</v>
      </c>
      <c r="K69" s="49" t="s">
        <v>112</v>
      </c>
      <c r="L69" s="49" t="s">
        <v>112</v>
      </c>
      <c r="M69" s="49" t="s">
        <v>112</v>
      </c>
      <c r="N69" s="17"/>
      <c r="O69" s="17"/>
    </row>
    <row r="70" spans="1:15" ht="24" x14ac:dyDescent="0.4">
      <c r="A70" s="181"/>
      <c r="B70" s="182"/>
      <c r="C70" s="182"/>
      <c r="D70" s="50"/>
      <c r="E70" s="51"/>
      <c r="F70" s="52"/>
      <c r="G70" s="53"/>
      <c r="H70" s="49">
        <v>243587</v>
      </c>
      <c r="I70" s="49">
        <v>243633</v>
      </c>
      <c r="J70" s="49">
        <v>243618</v>
      </c>
      <c r="K70" s="49">
        <v>243602</v>
      </c>
      <c r="L70" s="49">
        <v>243587</v>
      </c>
      <c r="M70" s="49">
        <v>243572</v>
      </c>
      <c r="N70" s="18"/>
      <c r="O70" s="18"/>
    </row>
    <row r="71" spans="1:15" ht="24" x14ac:dyDescent="0.4">
      <c r="A71" s="37"/>
      <c r="B71" s="38"/>
      <c r="C71" s="64"/>
      <c r="D71" s="50"/>
      <c r="E71" s="51"/>
      <c r="F71" s="52"/>
      <c r="G71" s="53"/>
      <c r="H71" s="49"/>
      <c r="I71" s="49"/>
      <c r="J71" s="49"/>
      <c r="K71" s="49"/>
      <c r="L71" s="49"/>
      <c r="M71" s="49"/>
      <c r="N71" s="18"/>
      <c r="O71" s="18"/>
    </row>
    <row r="72" spans="1:15" ht="24" x14ac:dyDescent="0.4">
      <c r="A72" s="37"/>
      <c r="B72" s="38"/>
      <c r="C72" s="64"/>
      <c r="D72" s="50"/>
      <c r="E72" s="51"/>
      <c r="F72" s="52"/>
      <c r="G72" s="53"/>
      <c r="H72" s="49"/>
      <c r="I72" s="49"/>
      <c r="J72" s="49"/>
      <c r="K72" s="49"/>
      <c r="L72" s="49"/>
      <c r="M72" s="49"/>
      <c r="N72" s="18"/>
      <c r="O72" s="18"/>
    </row>
    <row r="73" spans="1:15" ht="24" x14ac:dyDescent="0.4">
      <c r="A73" s="37"/>
      <c r="B73" s="38"/>
      <c r="C73" s="64"/>
      <c r="D73" s="46"/>
      <c r="E73" s="47"/>
      <c r="F73" s="48"/>
      <c r="G73" s="16"/>
      <c r="H73" s="65"/>
      <c r="I73" s="65"/>
      <c r="J73" s="65"/>
      <c r="K73" s="65"/>
      <c r="L73" s="65"/>
      <c r="M73" s="65"/>
      <c r="N73" s="18"/>
      <c r="O73" s="18"/>
    </row>
    <row r="74" spans="1:15" ht="24" x14ac:dyDescent="0.4">
      <c r="A74" s="181" t="s">
        <v>113</v>
      </c>
      <c r="B74" s="182"/>
      <c r="C74" s="182"/>
      <c r="D74" s="208" t="s">
        <v>114</v>
      </c>
      <c r="E74" s="209"/>
      <c r="F74" s="210"/>
      <c r="G74" s="16">
        <v>2.5</v>
      </c>
      <c r="H74" s="49" t="s">
        <v>112</v>
      </c>
      <c r="I74" s="49" t="s">
        <v>112</v>
      </c>
      <c r="J74" s="49" t="s">
        <v>112</v>
      </c>
      <c r="K74" s="49" t="s">
        <v>112</v>
      </c>
      <c r="L74" s="49" t="s">
        <v>112</v>
      </c>
      <c r="M74" s="49" t="s">
        <v>112</v>
      </c>
      <c r="N74" s="18"/>
      <c r="O74" s="18"/>
    </row>
    <row r="75" spans="1:15" ht="24" x14ac:dyDescent="0.4">
      <c r="A75" s="37"/>
      <c r="B75" s="38"/>
      <c r="C75" s="64"/>
      <c r="D75" s="46"/>
      <c r="E75" s="47"/>
      <c r="F75" s="48"/>
      <c r="G75" s="18"/>
      <c r="H75" s="49">
        <v>243587</v>
      </c>
      <c r="I75" s="49">
        <v>243633</v>
      </c>
      <c r="J75" s="49">
        <v>243618</v>
      </c>
      <c r="K75" s="49">
        <v>243602</v>
      </c>
      <c r="L75" s="49">
        <v>243587</v>
      </c>
      <c r="M75" s="49">
        <v>243572</v>
      </c>
      <c r="N75" s="17" t="s">
        <v>108</v>
      </c>
      <c r="O75" s="18"/>
    </row>
    <row r="76" spans="1:15" x14ac:dyDescent="0.5">
      <c r="A76" s="181"/>
      <c r="B76" s="182"/>
      <c r="C76" s="182"/>
      <c r="D76" s="208"/>
      <c r="E76" s="209"/>
      <c r="F76" s="210"/>
      <c r="G76" s="18"/>
      <c r="H76" s="76"/>
      <c r="I76" s="49"/>
      <c r="J76" s="49"/>
      <c r="K76" s="49"/>
      <c r="L76" s="49"/>
      <c r="M76" s="49"/>
      <c r="N76" s="17"/>
      <c r="O76" s="18"/>
    </row>
    <row r="77" spans="1:15" x14ac:dyDescent="0.5">
      <c r="A77" s="205"/>
      <c r="B77" s="206"/>
      <c r="C77" s="207"/>
      <c r="D77" s="208"/>
      <c r="E77" s="209"/>
      <c r="F77" s="210"/>
      <c r="G77" s="17"/>
      <c r="H77" s="77"/>
      <c r="I77" s="55"/>
      <c r="J77" s="55"/>
      <c r="K77" s="55"/>
      <c r="L77" s="55"/>
      <c r="M77" s="54"/>
      <c r="N77" s="17"/>
      <c r="O77" s="18"/>
    </row>
    <row r="78" spans="1:15" ht="33" x14ac:dyDescent="0.55000000000000004">
      <c r="A78" s="211" t="s">
        <v>115</v>
      </c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3"/>
      <c r="O78" s="36"/>
    </row>
  </sheetData>
  <mergeCells count="96">
    <mergeCell ref="A77:C77"/>
    <mergeCell ref="D77:F77"/>
    <mergeCell ref="A78:N78"/>
    <mergeCell ref="A69:C69"/>
    <mergeCell ref="D69:F69"/>
    <mergeCell ref="A70:C70"/>
    <mergeCell ref="A74:C74"/>
    <mergeCell ref="D74:F74"/>
    <mergeCell ref="A76:C76"/>
    <mergeCell ref="D76:F76"/>
    <mergeCell ref="A58:N58"/>
    <mergeCell ref="A62:O62"/>
    <mergeCell ref="A67:C68"/>
    <mergeCell ref="D67:F68"/>
    <mergeCell ref="H67:H68"/>
    <mergeCell ref="I67:M67"/>
    <mergeCell ref="N67:N68"/>
    <mergeCell ref="O67:O68"/>
    <mergeCell ref="A57:N57"/>
    <mergeCell ref="A46:B46"/>
    <mergeCell ref="A47:B47"/>
    <mergeCell ref="A48:B48"/>
    <mergeCell ref="A49:B49"/>
    <mergeCell ref="A50:B50"/>
    <mergeCell ref="A51:B51"/>
    <mergeCell ref="A52:F52"/>
    <mergeCell ref="A53:B53"/>
    <mergeCell ref="A54:B54"/>
    <mergeCell ref="A55:B55"/>
    <mergeCell ref="A56:B56"/>
    <mergeCell ref="A41:B41"/>
    <mergeCell ref="A42:B42"/>
    <mergeCell ref="A43:B43"/>
    <mergeCell ref="A44:B44"/>
    <mergeCell ref="A45:B45"/>
    <mergeCell ref="A40:B40"/>
    <mergeCell ref="A34:B34"/>
    <mergeCell ref="A35:B35"/>
    <mergeCell ref="A36:B36"/>
    <mergeCell ref="A37:B37"/>
    <mergeCell ref="A38:B38"/>
    <mergeCell ref="A39:B39"/>
    <mergeCell ref="A32:B32"/>
    <mergeCell ref="A33:B33"/>
    <mergeCell ref="A27:B27"/>
    <mergeCell ref="A28:B28"/>
    <mergeCell ref="A29:B29"/>
    <mergeCell ref="A30:B30"/>
    <mergeCell ref="A31:B31"/>
    <mergeCell ref="A26:B26"/>
    <mergeCell ref="A20:B20"/>
    <mergeCell ref="A21:B21"/>
    <mergeCell ref="A22:B22"/>
    <mergeCell ref="A23:B23"/>
    <mergeCell ref="A24:B24"/>
    <mergeCell ref="A25:F25"/>
    <mergeCell ref="A18:F18"/>
    <mergeCell ref="A19:B19"/>
    <mergeCell ref="A16:B17"/>
    <mergeCell ref="C16:C17"/>
    <mergeCell ref="D16:E16"/>
    <mergeCell ref="F16:F17"/>
    <mergeCell ref="H16:H17"/>
    <mergeCell ref="A15:O15"/>
    <mergeCell ref="I11:J11"/>
    <mergeCell ref="A12:E12"/>
    <mergeCell ref="G12:H12"/>
    <mergeCell ref="I12:J12"/>
    <mergeCell ref="K12:L12"/>
    <mergeCell ref="M12:O12"/>
    <mergeCell ref="N16:N17"/>
    <mergeCell ref="O16:O17"/>
    <mergeCell ref="I16:M16"/>
    <mergeCell ref="A10:E11"/>
    <mergeCell ref="F10:F11"/>
    <mergeCell ref="G10:H10"/>
    <mergeCell ref="I10:J10"/>
    <mergeCell ref="K10:L11"/>
    <mergeCell ref="M10:O11"/>
    <mergeCell ref="G11:H11"/>
    <mergeCell ref="A13:E13"/>
    <mergeCell ref="G13:H13"/>
    <mergeCell ref="I13:J13"/>
    <mergeCell ref="K13:L13"/>
    <mergeCell ref="M13:O13"/>
    <mergeCell ref="A1:O1"/>
    <mergeCell ref="A2:O2"/>
    <mergeCell ref="F4:H4"/>
    <mergeCell ref="I4:K4"/>
    <mergeCell ref="L4:N4"/>
    <mergeCell ref="F6:H6"/>
    <mergeCell ref="I6:K6"/>
    <mergeCell ref="L6:N6"/>
    <mergeCell ref="F7:H7"/>
    <mergeCell ref="I7:K7"/>
    <mergeCell ref="L7:N7"/>
  </mergeCells>
  <pageMargins left="0.7" right="0.7" top="0.75" bottom="0.75" header="0.3" footer="0.3"/>
  <pageSetup paperSize="9" scale="51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6"/>
  <sheetViews>
    <sheetView topLeftCell="A47" zoomScale="80" zoomScaleNormal="80" workbookViewId="0">
      <selection activeCell="G37" sqref="G37"/>
    </sheetView>
  </sheetViews>
  <sheetFormatPr baseColWidth="10" defaultColWidth="9" defaultRowHeight="24" x14ac:dyDescent="0.4"/>
  <cols>
    <col min="1" max="1" width="13.5" style="80" customWidth="1"/>
    <col min="2" max="2" width="64.1640625" style="80" customWidth="1"/>
    <col min="3" max="3" width="17.1640625" style="80" customWidth="1"/>
    <col min="4" max="13" width="10.5" style="80" customWidth="1"/>
    <col min="14" max="14" width="17.5" style="80" customWidth="1"/>
    <col min="15" max="15" width="12.5" style="276" customWidth="1"/>
    <col min="16" max="16" width="0" style="80" hidden="1" customWidth="1"/>
    <col min="17" max="17" width="8.5" style="80" hidden="1" customWidth="1"/>
    <col min="18" max="16384" width="9" style="80"/>
  </cols>
  <sheetData>
    <row r="1" spans="1:15" ht="33" x14ac:dyDescent="0.55000000000000004">
      <c r="A1" s="216" t="s">
        <v>12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2" spans="1:15" ht="33" x14ac:dyDescent="0.55000000000000004">
      <c r="A2" s="216" t="s">
        <v>13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</row>
    <row r="4" spans="1:15" x14ac:dyDescent="0.4">
      <c r="A4" s="81" t="s">
        <v>14</v>
      </c>
      <c r="B4" s="82" t="s">
        <v>116</v>
      </c>
      <c r="C4" s="81" t="s">
        <v>16</v>
      </c>
      <c r="D4" s="83">
        <v>6200379</v>
      </c>
      <c r="E4" s="84"/>
      <c r="F4" s="217" t="s">
        <v>17</v>
      </c>
      <c r="G4" s="218"/>
      <c r="H4" s="219"/>
      <c r="I4" s="217" t="s">
        <v>18</v>
      </c>
      <c r="J4" s="218"/>
      <c r="K4" s="219"/>
      <c r="L4" s="217" t="s">
        <v>117</v>
      </c>
      <c r="M4" s="218"/>
      <c r="N4" s="219"/>
    </row>
    <row r="5" spans="1:15" x14ac:dyDescent="0.4">
      <c r="A5" s="81" t="s">
        <v>20</v>
      </c>
      <c r="B5" s="82" t="s">
        <v>9</v>
      </c>
      <c r="C5" s="81" t="s">
        <v>21</v>
      </c>
      <c r="D5" s="82" t="s">
        <v>118</v>
      </c>
      <c r="E5" s="84"/>
      <c r="F5" s="85"/>
      <c r="H5" s="86"/>
      <c r="I5" s="85"/>
      <c r="K5" s="86"/>
      <c r="L5" s="85"/>
      <c r="N5" s="86"/>
    </row>
    <row r="6" spans="1:15" x14ac:dyDescent="0.4">
      <c r="A6" s="81" t="s">
        <v>22</v>
      </c>
      <c r="B6" s="82" t="s">
        <v>23</v>
      </c>
      <c r="C6" s="81" t="s">
        <v>24</v>
      </c>
      <c r="D6" s="82" t="s">
        <v>25</v>
      </c>
      <c r="E6" s="84"/>
      <c r="F6" s="220" t="s">
        <v>119</v>
      </c>
      <c r="G6" s="221"/>
      <c r="H6" s="222"/>
      <c r="I6" s="220" t="s">
        <v>26</v>
      </c>
      <c r="J6" s="221"/>
      <c r="K6" s="222"/>
      <c r="L6" s="220" t="s">
        <v>28</v>
      </c>
      <c r="M6" s="221"/>
      <c r="N6" s="222"/>
    </row>
    <row r="7" spans="1:15" x14ac:dyDescent="0.4">
      <c r="F7" s="220" t="s">
        <v>29</v>
      </c>
      <c r="G7" s="221"/>
      <c r="H7" s="222"/>
      <c r="I7" s="220" t="s">
        <v>29</v>
      </c>
      <c r="J7" s="221"/>
      <c r="K7" s="222"/>
      <c r="L7" s="220" t="s">
        <v>29</v>
      </c>
      <c r="M7" s="221"/>
      <c r="N7" s="222"/>
    </row>
    <row r="8" spans="1:15" x14ac:dyDescent="0.4">
      <c r="F8" s="88"/>
      <c r="G8" s="89"/>
      <c r="H8" s="90"/>
      <c r="I8" s="88"/>
      <c r="J8" s="89"/>
      <c r="K8" s="90"/>
      <c r="L8" s="88"/>
      <c r="M8" s="89"/>
      <c r="N8" s="90"/>
    </row>
    <row r="10" spans="1:15" ht="21" customHeight="1" x14ac:dyDescent="0.4">
      <c r="A10" s="234" t="s">
        <v>30</v>
      </c>
      <c r="B10" s="235"/>
      <c r="C10" s="235"/>
      <c r="D10" s="235"/>
      <c r="E10" s="236"/>
      <c r="F10" s="229" t="s">
        <v>31</v>
      </c>
      <c r="G10" s="224" t="s">
        <v>32</v>
      </c>
      <c r="H10" s="225"/>
      <c r="I10" s="224" t="s">
        <v>32</v>
      </c>
      <c r="J10" s="225"/>
      <c r="K10" s="234" t="s">
        <v>33</v>
      </c>
      <c r="L10" s="236"/>
      <c r="M10" s="234" t="s">
        <v>4</v>
      </c>
      <c r="N10" s="235"/>
      <c r="O10" s="236"/>
    </row>
    <row r="11" spans="1:15" x14ac:dyDescent="0.4">
      <c r="A11" s="237"/>
      <c r="B11" s="238"/>
      <c r="C11" s="238"/>
      <c r="D11" s="238"/>
      <c r="E11" s="239"/>
      <c r="F11" s="230"/>
      <c r="G11" s="224" t="s">
        <v>34</v>
      </c>
      <c r="H11" s="225"/>
      <c r="I11" s="224" t="s">
        <v>35</v>
      </c>
      <c r="J11" s="225"/>
      <c r="K11" s="237"/>
      <c r="L11" s="239"/>
      <c r="M11" s="237"/>
      <c r="N11" s="238"/>
      <c r="O11" s="239"/>
    </row>
    <row r="12" spans="1:15" x14ac:dyDescent="0.4">
      <c r="A12" s="226" t="s">
        <v>36</v>
      </c>
      <c r="B12" s="227"/>
      <c r="C12" s="227"/>
      <c r="D12" s="227"/>
      <c r="E12" s="228"/>
      <c r="F12" s="92">
        <v>20</v>
      </c>
      <c r="G12" s="220"/>
      <c r="H12" s="222"/>
      <c r="I12" s="220"/>
      <c r="J12" s="222"/>
      <c r="K12" s="220"/>
      <c r="L12" s="222"/>
      <c r="M12" s="220"/>
      <c r="N12" s="221"/>
      <c r="O12" s="222"/>
    </row>
    <row r="13" spans="1:15" x14ac:dyDescent="0.4">
      <c r="A13" s="240" t="s">
        <v>37</v>
      </c>
      <c r="B13" s="223"/>
      <c r="C13" s="223"/>
      <c r="D13" s="223"/>
      <c r="E13" s="241"/>
      <c r="F13" s="93">
        <v>10</v>
      </c>
      <c r="G13" s="242" t="s">
        <v>38</v>
      </c>
      <c r="H13" s="243"/>
      <c r="I13" s="242" t="s">
        <v>38</v>
      </c>
      <c r="J13" s="243"/>
      <c r="K13" s="242">
        <v>10</v>
      </c>
      <c r="L13" s="243"/>
      <c r="M13" s="242"/>
      <c r="N13" s="244"/>
      <c r="O13" s="243"/>
    </row>
    <row r="14" spans="1:15" x14ac:dyDescent="0.4">
      <c r="A14" s="91"/>
      <c r="B14" s="91"/>
      <c r="C14" s="91"/>
      <c r="D14" s="91"/>
      <c r="E14" s="91"/>
      <c r="F14" s="94"/>
      <c r="G14" s="87"/>
      <c r="H14" s="87"/>
      <c r="I14" s="87"/>
      <c r="J14" s="87"/>
      <c r="K14" s="87"/>
      <c r="L14" s="87"/>
      <c r="M14" s="87"/>
      <c r="N14" s="87"/>
      <c r="O14" s="277"/>
    </row>
    <row r="15" spans="1:15" x14ac:dyDescent="0.4">
      <c r="A15" s="223" t="s">
        <v>39</v>
      </c>
      <c r="B15" s="223"/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</row>
    <row r="16" spans="1:15" x14ac:dyDescent="0.4">
      <c r="A16" s="234" t="s">
        <v>40</v>
      </c>
      <c r="B16" s="236"/>
      <c r="C16" s="229" t="s">
        <v>41</v>
      </c>
      <c r="D16" s="231" t="s">
        <v>42</v>
      </c>
      <c r="E16" s="233"/>
      <c r="F16" s="229" t="s">
        <v>43</v>
      </c>
      <c r="G16" s="95" t="s">
        <v>44</v>
      </c>
      <c r="H16" s="229" t="s">
        <v>45</v>
      </c>
      <c r="I16" s="231" t="s">
        <v>46</v>
      </c>
      <c r="J16" s="232"/>
      <c r="K16" s="232"/>
      <c r="L16" s="232"/>
      <c r="M16" s="233"/>
      <c r="N16" s="229" t="s">
        <v>47</v>
      </c>
      <c r="O16" s="278" t="s">
        <v>48</v>
      </c>
    </row>
    <row r="17" spans="1:17" x14ac:dyDescent="0.4">
      <c r="A17" s="237"/>
      <c r="B17" s="239"/>
      <c r="C17" s="230" t="s">
        <v>49</v>
      </c>
      <c r="D17" s="95" t="s">
        <v>50</v>
      </c>
      <c r="E17" s="95" t="s">
        <v>51</v>
      </c>
      <c r="F17" s="230"/>
      <c r="G17" s="95" t="s">
        <v>52</v>
      </c>
      <c r="H17" s="230"/>
      <c r="I17" s="95">
        <v>1</v>
      </c>
      <c r="J17" s="95">
        <v>2</v>
      </c>
      <c r="K17" s="95">
        <v>3</v>
      </c>
      <c r="L17" s="95" t="s">
        <v>53</v>
      </c>
      <c r="M17" s="95" t="s">
        <v>54</v>
      </c>
      <c r="N17" s="230"/>
      <c r="O17" s="279"/>
    </row>
    <row r="18" spans="1:17" x14ac:dyDescent="0.4">
      <c r="A18" s="245" t="s">
        <v>55</v>
      </c>
      <c r="B18" s="246"/>
      <c r="C18" s="246"/>
      <c r="D18" s="246"/>
      <c r="E18" s="246"/>
      <c r="F18" s="247"/>
      <c r="G18" s="95" t="s">
        <v>56</v>
      </c>
      <c r="H18" s="98"/>
      <c r="I18" s="98"/>
      <c r="J18" s="98"/>
      <c r="K18" s="98"/>
      <c r="L18" s="98"/>
      <c r="M18" s="98"/>
      <c r="N18" s="98"/>
      <c r="O18" s="280"/>
    </row>
    <row r="19" spans="1:17" ht="21" customHeight="1" x14ac:dyDescent="0.4">
      <c r="A19" s="248" t="s">
        <v>57</v>
      </c>
      <c r="B19" s="249"/>
      <c r="C19" s="99">
        <v>1</v>
      </c>
      <c r="D19" s="100" t="s">
        <v>58</v>
      </c>
      <c r="E19" s="100"/>
      <c r="F19" s="95" t="s">
        <v>59</v>
      </c>
      <c r="G19" s="95">
        <v>2</v>
      </c>
      <c r="H19" s="101">
        <v>3.44</v>
      </c>
      <c r="I19" s="102">
        <v>2.06</v>
      </c>
      <c r="J19" s="102">
        <v>2.41</v>
      </c>
      <c r="K19" s="102">
        <v>2.75</v>
      </c>
      <c r="L19" s="102">
        <v>3.09</v>
      </c>
      <c r="M19" s="102">
        <v>3.44</v>
      </c>
      <c r="N19" s="103">
        <f>ผลงานรวมทีม!E58</f>
        <v>4.03</v>
      </c>
      <c r="O19" s="281">
        <f t="shared" ref="O19:O73" si="0">((Q19/5)*G19)</f>
        <v>2</v>
      </c>
      <c r="P19" s="80" t="s">
        <v>60</v>
      </c>
      <c r="Q19" s="105">
        <f t="shared" ref="Q19:Q74" si="1">IF(N19=0,0,IF(N19&gt;=M19,5,IF(N19&gt;=L19,5-ABS(M19-N19)/(M19-L19),IF(N19&gt;=K19,4-ABS(L19-N19)/(L19-K19),IF(N19&gt;=J19,3-ABS(K19-N19)/(K19-J19),IF(N19&gt;=I19,2-ABS(J19-N19)/(J19-I19),1))))))</f>
        <v>5</v>
      </c>
    </row>
    <row r="20" spans="1:17" ht="21" customHeight="1" x14ac:dyDescent="0.4">
      <c r="A20" s="248" t="s">
        <v>120</v>
      </c>
      <c r="B20" s="249"/>
      <c r="C20" s="99">
        <v>6</v>
      </c>
      <c r="D20" s="106" t="s">
        <v>62</v>
      </c>
      <c r="E20" s="106"/>
      <c r="F20" s="95" t="s">
        <v>59</v>
      </c>
      <c r="G20" s="107">
        <v>4</v>
      </c>
      <c r="H20" s="101">
        <v>4.05</v>
      </c>
      <c r="I20" s="102">
        <v>2.92</v>
      </c>
      <c r="J20" s="102">
        <v>3.2</v>
      </c>
      <c r="K20" s="102">
        <v>3.48</v>
      </c>
      <c r="L20" s="102">
        <v>3.77</v>
      </c>
      <c r="M20" s="102">
        <v>4.05</v>
      </c>
      <c r="N20" s="99">
        <f>ผลงานรวมทีม!E9</f>
        <v>20</v>
      </c>
      <c r="O20" s="281">
        <f t="shared" si="0"/>
        <v>4</v>
      </c>
      <c r="Q20" s="105">
        <f t="shared" si="1"/>
        <v>5</v>
      </c>
    </row>
    <row r="21" spans="1:17" ht="21" customHeight="1" x14ac:dyDescent="0.4">
      <c r="A21" s="248" t="s">
        <v>121</v>
      </c>
      <c r="B21" s="249"/>
      <c r="C21" s="99">
        <v>2</v>
      </c>
      <c r="D21" s="106" t="s">
        <v>62</v>
      </c>
      <c r="E21" s="100"/>
      <c r="F21" s="95" t="s">
        <v>63</v>
      </c>
      <c r="G21" s="107">
        <v>3</v>
      </c>
      <c r="H21" s="108">
        <v>47</v>
      </c>
      <c r="I21" s="109">
        <v>35</v>
      </c>
      <c r="J21" s="109">
        <v>38</v>
      </c>
      <c r="K21" s="109">
        <v>41</v>
      </c>
      <c r="L21" s="109">
        <v>45</v>
      </c>
      <c r="M21" s="109">
        <v>47</v>
      </c>
      <c r="N21" s="99">
        <f>ผลงานรวมทีม!E10</f>
        <v>57</v>
      </c>
      <c r="O21" s="281">
        <f t="shared" si="0"/>
        <v>3</v>
      </c>
      <c r="Q21" s="105">
        <f t="shared" si="1"/>
        <v>5</v>
      </c>
    </row>
    <row r="22" spans="1:17" ht="21" customHeight="1" x14ac:dyDescent="0.4">
      <c r="A22" s="248" t="s">
        <v>122</v>
      </c>
      <c r="B22" s="249"/>
      <c r="C22" s="99">
        <v>2</v>
      </c>
      <c r="D22" s="106" t="s">
        <v>62</v>
      </c>
      <c r="E22" s="100"/>
      <c r="F22" s="95" t="s">
        <v>63</v>
      </c>
      <c r="G22" s="107">
        <v>3</v>
      </c>
      <c r="H22" s="108">
        <v>280</v>
      </c>
      <c r="I22" s="109">
        <v>193</v>
      </c>
      <c r="J22" s="109">
        <v>204</v>
      </c>
      <c r="K22" s="109">
        <v>248</v>
      </c>
      <c r="L22" s="109">
        <v>276</v>
      </c>
      <c r="M22" s="109">
        <v>280</v>
      </c>
      <c r="N22" s="99">
        <f>ผลงานรวมทีม!E11</f>
        <v>331</v>
      </c>
      <c r="O22" s="281">
        <f t="shared" si="0"/>
        <v>3</v>
      </c>
      <c r="Q22" s="105">
        <f t="shared" si="1"/>
        <v>5</v>
      </c>
    </row>
    <row r="23" spans="1:17" ht="21" customHeight="1" x14ac:dyDescent="0.4">
      <c r="A23" s="248" t="s">
        <v>123</v>
      </c>
      <c r="B23" s="249"/>
      <c r="C23" s="99">
        <v>2</v>
      </c>
      <c r="D23" s="106" t="s">
        <v>62</v>
      </c>
      <c r="E23" s="106"/>
      <c r="F23" s="95" t="s">
        <v>63</v>
      </c>
      <c r="G23" s="107">
        <v>3</v>
      </c>
      <c r="H23" s="101">
        <v>2</v>
      </c>
      <c r="I23" s="102">
        <v>0</v>
      </c>
      <c r="J23" s="102">
        <v>0</v>
      </c>
      <c r="K23" s="102">
        <v>0</v>
      </c>
      <c r="L23" s="102">
        <v>0</v>
      </c>
      <c r="M23" s="102">
        <v>2</v>
      </c>
      <c r="N23" s="99">
        <f>ผลงานรวมทีม!E12</f>
        <v>3</v>
      </c>
      <c r="O23" s="281">
        <f t="shared" si="0"/>
        <v>3</v>
      </c>
      <c r="Q23" s="105">
        <f t="shared" si="1"/>
        <v>5</v>
      </c>
    </row>
    <row r="24" spans="1:17" ht="21" customHeight="1" x14ac:dyDescent="0.4">
      <c r="A24" s="248" t="s">
        <v>124</v>
      </c>
      <c r="B24" s="249"/>
      <c r="C24" s="99"/>
      <c r="D24" s="106"/>
      <c r="E24" s="100"/>
      <c r="F24" s="95"/>
      <c r="G24" s="107"/>
      <c r="H24" s="101"/>
      <c r="I24" s="102"/>
      <c r="J24" s="102"/>
      <c r="K24" s="102"/>
      <c r="L24" s="102"/>
      <c r="M24" s="102"/>
      <c r="N24" s="99"/>
      <c r="O24" s="281"/>
      <c r="Q24" s="105">
        <f t="shared" si="1"/>
        <v>0</v>
      </c>
    </row>
    <row r="25" spans="1:17" ht="21" customHeight="1" x14ac:dyDescent="0.4">
      <c r="A25" s="248" t="s">
        <v>125</v>
      </c>
      <c r="B25" s="249"/>
      <c r="C25" s="99">
        <v>2</v>
      </c>
      <c r="D25" s="106" t="s">
        <v>62</v>
      </c>
      <c r="E25" s="100"/>
      <c r="F25" s="95" t="s">
        <v>59</v>
      </c>
      <c r="G25" s="107">
        <v>4</v>
      </c>
      <c r="H25" s="101">
        <v>8.73</v>
      </c>
      <c r="I25" s="102">
        <v>6.98</v>
      </c>
      <c r="J25" s="102">
        <v>7.42</v>
      </c>
      <c r="K25" s="102">
        <v>7.86</v>
      </c>
      <c r="L25" s="102">
        <v>8.2899999999999991</v>
      </c>
      <c r="M25" s="102">
        <v>8.73</v>
      </c>
      <c r="N25" s="99">
        <f>ผลงานรวมทีม!E14</f>
        <v>10.28</v>
      </c>
      <c r="O25" s="281">
        <f t="shared" si="0"/>
        <v>4</v>
      </c>
      <c r="Q25" s="105">
        <f t="shared" si="1"/>
        <v>5</v>
      </c>
    </row>
    <row r="26" spans="1:17" ht="21" customHeight="1" x14ac:dyDescent="0.4">
      <c r="A26" s="248" t="s">
        <v>126</v>
      </c>
      <c r="B26" s="249"/>
      <c r="C26" s="99">
        <v>2</v>
      </c>
      <c r="D26" s="106" t="s">
        <v>62</v>
      </c>
      <c r="E26" s="100"/>
      <c r="F26" s="95" t="s">
        <v>59</v>
      </c>
      <c r="G26" s="95">
        <v>4</v>
      </c>
      <c r="H26" s="101">
        <v>7.17</v>
      </c>
      <c r="I26" s="102">
        <v>5.74</v>
      </c>
      <c r="J26" s="102">
        <v>6.09</v>
      </c>
      <c r="K26" s="102">
        <v>6.45</v>
      </c>
      <c r="L26" s="102">
        <v>6.85</v>
      </c>
      <c r="M26" s="102">
        <v>7.17</v>
      </c>
      <c r="N26" s="103">
        <f>ผลงานรวมทีม!E15</f>
        <v>-204.38</v>
      </c>
      <c r="O26" s="281">
        <f t="shared" si="0"/>
        <v>0.8</v>
      </c>
      <c r="Q26" s="105">
        <f t="shared" si="1"/>
        <v>1</v>
      </c>
    </row>
    <row r="27" spans="1:17" ht="21" customHeight="1" x14ac:dyDescent="0.4">
      <c r="A27" s="245" t="s">
        <v>68</v>
      </c>
      <c r="B27" s="246"/>
      <c r="C27" s="246"/>
      <c r="D27" s="246"/>
      <c r="E27" s="246"/>
      <c r="F27" s="247"/>
      <c r="G27" s="95"/>
      <c r="H27" s="101"/>
      <c r="I27" s="102"/>
      <c r="J27" s="102"/>
      <c r="K27" s="102"/>
      <c r="L27" s="102"/>
      <c r="M27" s="102"/>
      <c r="N27" s="99"/>
      <c r="O27" s="281"/>
      <c r="Q27" s="105">
        <f t="shared" si="1"/>
        <v>0</v>
      </c>
    </row>
    <row r="28" spans="1:17" ht="21" customHeight="1" x14ac:dyDescent="0.4">
      <c r="A28" s="248" t="s">
        <v>127</v>
      </c>
      <c r="B28" s="249"/>
      <c r="C28" s="99"/>
      <c r="D28" s="100"/>
      <c r="E28" s="100"/>
      <c r="F28" s="107"/>
      <c r="G28" s="95"/>
      <c r="H28" s="101"/>
      <c r="I28" s="102"/>
      <c r="J28" s="102"/>
      <c r="K28" s="102"/>
      <c r="L28" s="102"/>
      <c r="M28" s="102"/>
      <c r="N28" s="99"/>
      <c r="O28" s="281"/>
      <c r="Q28" s="105">
        <f t="shared" si="1"/>
        <v>0</v>
      </c>
    </row>
    <row r="29" spans="1:17" ht="21" customHeight="1" x14ac:dyDescent="0.4">
      <c r="A29" s="248" t="s">
        <v>128</v>
      </c>
      <c r="B29" s="249"/>
      <c r="C29" s="99">
        <v>2</v>
      </c>
      <c r="D29" s="106" t="s">
        <v>62</v>
      </c>
      <c r="E29" s="106"/>
      <c r="F29" s="107" t="s">
        <v>71</v>
      </c>
      <c r="G29" s="95">
        <v>0.5</v>
      </c>
      <c r="H29" s="101">
        <v>85</v>
      </c>
      <c r="I29" s="102">
        <v>77</v>
      </c>
      <c r="J29" s="102">
        <v>79</v>
      </c>
      <c r="K29" s="102">
        <v>81</v>
      </c>
      <c r="L29" s="102">
        <v>83</v>
      </c>
      <c r="M29" s="102">
        <v>85</v>
      </c>
      <c r="N29" s="99">
        <f>ผลงานรวมทีม!E18</f>
        <v>93.04</v>
      </c>
      <c r="O29" s="281">
        <f t="shared" si="0"/>
        <v>0.5</v>
      </c>
      <c r="Q29" s="105">
        <f t="shared" si="1"/>
        <v>5</v>
      </c>
    </row>
    <row r="30" spans="1:17" ht="21" customHeight="1" x14ac:dyDescent="0.4">
      <c r="A30" s="248" t="s">
        <v>129</v>
      </c>
      <c r="B30" s="249"/>
      <c r="C30" s="99">
        <v>2</v>
      </c>
      <c r="D30" s="106" t="s">
        <v>62</v>
      </c>
      <c r="E30" s="106"/>
      <c r="F30" s="107" t="s">
        <v>71</v>
      </c>
      <c r="G30" s="95">
        <v>0.5</v>
      </c>
      <c r="H30" s="101">
        <v>85</v>
      </c>
      <c r="I30" s="102">
        <v>77</v>
      </c>
      <c r="J30" s="102">
        <v>79</v>
      </c>
      <c r="K30" s="102">
        <v>81</v>
      </c>
      <c r="L30" s="102">
        <v>83</v>
      </c>
      <c r="M30" s="102">
        <v>85</v>
      </c>
      <c r="N30" s="99">
        <f>ผลงานรวมทีม!E19</f>
        <v>93.22</v>
      </c>
      <c r="O30" s="281">
        <f t="shared" si="0"/>
        <v>0.5</v>
      </c>
      <c r="Q30" s="105">
        <f t="shared" si="1"/>
        <v>5</v>
      </c>
    </row>
    <row r="31" spans="1:17" ht="21" customHeight="1" x14ac:dyDescent="0.4">
      <c r="A31" s="248" t="s">
        <v>130</v>
      </c>
      <c r="B31" s="249"/>
      <c r="C31" s="99">
        <v>2</v>
      </c>
      <c r="D31" s="106" t="s">
        <v>62</v>
      </c>
      <c r="E31" s="106"/>
      <c r="F31" s="107" t="s">
        <v>71</v>
      </c>
      <c r="G31" s="95">
        <v>0.5</v>
      </c>
      <c r="H31" s="101">
        <v>85</v>
      </c>
      <c r="I31" s="102">
        <v>77</v>
      </c>
      <c r="J31" s="102">
        <v>79</v>
      </c>
      <c r="K31" s="102">
        <v>81</v>
      </c>
      <c r="L31" s="102">
        <v>83</v>
      </c>
      <c r="M31" s="102">
        <v>85</v>
      </c>
      <c r="N31" s="99">
        <f>ผลงานรวมทีม!E20</f>
        <v>83.1</v>
      </c>
      <c r="O31" s="281">
        <f t="shared" si="0"/>
        <v>0.40499999999999969</v>
      </c>
      <c r="Q31" s="105">
        <f t="shared" si="1"/>
        <v>4.0499999999999972</v>
      </c>
    </row>
    <row r="32" spans="1:17" ht="21" customHeight="1" x14ac:dyDescent="0.4">
      <c r="A32" s="248" t="s">
        <v>131</v>
      </c>
      <c r="B32" s="249"/>
      <c r="C32" s="99">
        <v>2</v>
      </c>
      <c r="D32" s="106" t="s">
        <v>62</v>
      </c>
      <c r="E32" s="106"/>
      <c r="F32" s="107" t="s">
        <v>71</v>
      </c>
      <c r="G32" s="95">
        <v>0.5</v>
      </c>
      <c r="H32" s="101">
        <v>85</v>
      </c>
      <c r="I32" s="102">
        <v>77</v>
      </c>
      <c r="J32" s="102">
        <v>79</v>
      </c>
      <c r="K32" s="102">
        <v>81</v>
      </c>
      <c r="L32" s="102">
        <v>83</v>
      </c>
      <c r="M32" s="102">
        <v>85</v>
      </c>
      <c r="N32" s="99">
        <f>ผลงานรวมทีม!E21</f>
        <v>93.54</v>
      </c>
      <c r="O32" s="281">
        <f t="shared" si="0"/>
        <v>0.5</v>
      </c>
      <c r="Q32" s="105">
        <f t="shared" si="1"/>
        <v>5</v>
      </c>
    </row>
    <row r="33" spans="1:17" ht="21" customHeight="1" x14ac:dyDescent="0.4">
      <c r="A33" s="248" t="s">
        <v>132</v>
      </c>
      <c r="B33" s="249"/>
      <c r="C33" s="99">
        <v>2</v>
      </c>
      <c r="D33" s="106" t="s">
        <v>62</v>
      </c>
      <c r="E33" s="106"/>
      <c r="F33" s="107" t="s">
        <v>71</v>
      </c>
      <c r="G33" s="95">
        <v>0.5</v>
      </c>
      <c r="H33" s="101">
        <v>85</v>
      </c>
      <c r="I33" s="102">
        <v>77</v>
      </c>
      <c r="J33" s="102">
        <v>79</v>
      </c>
      <c r="K33" s="102">
        <v>81</v>
      </c>
      <c r="L33" s="102">
        <v>83</v>
      </c>
      <c r="M33" s="102">
        <v>85</v>
      </c>
      <c r="N33" s="99">
        <f>ผลงานรวมทีม!E22</f>
        <v>93.89</v>
      </c>
      <c r="O33" s="281">
        <f t="shared" si="0"/>
        <v>0.5</v>
      </c>
      <c r="Q33" s="105">
        <f t="shared" si="1"/>
        <v>5</v>
      </c>
    </row>
    <row r="34" spans="1:17" ht="21" customHeight="1" x14ac:dyDescent="0.4">
      <c r="A34" s="248" t="s">
        <v>133</v>
      </c>
      <c r="B34" s="249"/>
      <c r="C34" s="99">
        <v>2</v>
      </c>
      <c r="D34" s="106" t="s">
        <v>62</v>
      </c>
      <c r="E34" s="106"/>
      <c r="F34" s="107" t="s">
        <v>71</v>
      </c>
      <c r="G34" s="95">
        <v>0.5</v>
      </c>
      <c r="H34" s="101">
        <v>85</v>
      </c>
      <c r="I34" s="102">
        <v>77</v>
      </c>
      <c r="J34" s="102">
        <v>79</v>
      </c>
      <c r="K34" s="102">
        <v>81</v>
      </c>
      <c r="L34" s="102">
        <v>83</v>
      </c>
      <c r="M34" s="102">
        <v>85</v>
      </c>
      <c r="N34" s="99">
        <f>ผลงานรวมทีม!E23</f>
        <v>99.51</v>
      </c>
      <c r="O34" s="281">
        <f t="shared" si="0"/>
        <v>0.5</v>
      </c>
      <c r="Q34" s="105">
        <f t="shared" si="1"/>
        <v>5</v>
      </c>
    </row>
    <row r="35" spans="1:17" ht="21" customHeight="1" x14ac:dyDescent="0.4">
      <c r="A35" s="248" t="s">
        <v>134</v>
      </c>
      <c r="B35" s="249"/>
      <c r="C35" s="99">
        <v>2</v>
      </c>
      <c r="D35" s="106" t="s">
        <v>62</v>
      </c>
      <c r="E35" s="106"/>
      <c r="F35" s="107" t="s">
        <v>71</v>
      </c>
      <c r="G35" s="95">
        <v>0.5</v>
      </c>
      <c r="H35" s="101">
        <v>85</v>
      </c>
      <c r="I35" s="102">
        <v>77</v>
      </c>
      <c r="J35" s="102">
        <v>79</v>
      </c>
      <c r="K35" s="102">
        <v>81</v>
      </c>
      <c r="L35" s="102">
        <v>83</v>
      </c>
      <c r="M35" s="102">
        <v>85</v>
      </c>
      <c r="N35" s="99">
        <f>ผลงานรวมทีม!E24</f>
        <v>97.86</v>
      </c>
      <c r="O35" s="281">
        <f t="shared" si="0"/>
        <v>0.5</v>
      </c>
      <c r="Q35" s="105">
        <f t="shared" si="1"/>
        <v>5</v>
      </c>
    </row>
    <row r="36" spans="1:17" ht="21" customHeight="1" x14ac:dyDescent="0.4">
      <c r="A36" s="248" t="s">
        <v>135</v>
      </c>
      <c r="B36" s="249"/>
      <c r="C36" s="99">
        <v>2</v>
      </c>
      <c r="D36" s="106" t="s">
        <v>62</v>
      </c>
      <c r="E36" s="106"/>
      <c r="F36" s="107" t="s">
        <v>71</v>
      </c>
      <c r="G36" s="95">
        <v>0.5</v>
      </c>
      <c r="H36" s="101">
        <v>85</v>
      </c>
      <c r="I36" s="102">
        <v>77</v>
      </c>
      <c r="J36" s="102">
        <v>79</v>
      </c>
      <c r="K36" s="102">
        <v>81</v>
      </c>
      <c r="L36" s="102">
        <v>83</v>
      </c>
      <c r="M36" s="102">
        <v>85</v>
      </c>
      <c r="N36" s="99">
        <f>ผลงานรวมทีม!E25</f>
        <v>97.99</v>
      </c>
      <c r="O36" s="281">
        <f t="shared" si="0"/>
        <v>0.5</v>
      </c>
      <c r="Q36" s="105">
        <f t="shared" si="1"/>
        <v>5</v>
      </c>
    </row>
    <row r="37" spans="1:17" ht="21" customHeight="1" x14ac:dyDescent="0.4">
      <c r="A37" s="248" t="s">
        <v>136</v>
      </c>
      <c r="B37" s="249"/>
      <c r="C37" s="99">
        <v>2</v>
      </c>
      <c r="D37" s="106" t="s">
        <v>62</v>
      </c>
      <c r="E37" s="106"/>
      <c r="F37" s="107" t="s">
        <v>71</v>
      </c>
      <c r="G37" s="95">
        <v>0.5</v>
      </c>
      <c r="H37" s="101">
        <v>85</v>
      </c>
      <c r="I37" s="102">
        <v>77</v>
      </c>
      <c r="J37" s="102">
        <v>79</v>
      </c>
      <c r="K37" s="102">
        <v>81</v>
      </c>
      <c r="L37" s="102">
        <v>83</v>
      </c>
      <c r="M37" s="102">
        <v>85</v>
      </c>
      <c r="N37" s="99">
        <f>ผลงานรวมทีม!E26</f>
        <v>86.99</v>
      </c>
      <c r="O37" s="281">
        <f t="shared" si="0"/>
        <v>0.5</v>
      </c>
      <c r="Q37" s="105">
        <f t="shared" si="1"/>
        <v>5</v>
      </c>
    </row>
    <row r="38" spans="1:17" ht="21" customHeight="1" x14ac:dyDescent="0.4">
      <c r="A38" s="248" t="s">
        <v>137</v>
      </c>
      <c r="B38" s="249"/>
      <c r="C38" s="99">
        <v>2</v>
      </c>
      <c r="D38" s="106" t="s">
        <v>62</v>
      </c>
      <c r="E38" s="106"/>
      <c r="F38" s="107" t="s">
        <v>71</v>
      </c>
      <c r="G38" s="95">
        <v>0.5</v>
      </c>
      <c r="H38" s="101">
        <v>85</v>
      </c>
      <c r="I38" s="102">
        <v>77</v>
      </c>
      <c r="J38" s="102">
        <v>79</v>
      </c>
      <c r="K38" s="102">
        <v>81</v>
      </c>
      <c r="L38" s="102">
        <v>83</v>
      </c>
      <c r="M38" s="102">
        <v>85</v>
      </c>
      <c r="N38" s="99">
        <f>ผลงานรวมทีม!E27</f>
        <v>97.53</v>
      </c>
      <c r="O38" s="281">
        <f t="shared" si="0"/>
        <v>0.5</v>
      </c>
      <c r="Q38" s="105">
        <f t="shared" si="1"/>
        <v>5</v>
      </c>
    </row>
    <row r="39" spans="1:17" ht="21" customHeight="1" x14ac:dyDescent="0.4">
      <c r="A39" s="248" t="s">
        <v>138</v>
      </c>
      <c r="B39" s="249"/>
      <c r="C39" s="99">
        <v>2</v>
      </c>
      <c r="D39" s="106" t="s">
        <v>62</v>
      </c>
      <c r="E39" s="106"/>
      <c r="F39" s="107" t="s">
        <v>71</v>
      </c>
      <c r="G39" s="95">
        <v>0.5</v>
      </c>
      <c r="H39" s="101">
        <v>85</v>
      </c>
      <c r="I39" s="102">
        <v>77</v>
      </c>
      <c r="J39" s="102">
        <v>79</v>
      </c>
      <c r="K39" s="102">
        <v>81</v>
      </c>
      <c r="L39" s="102">
        <v>83</v>
      </c>
      <c r="M39" s="102">
        <v>85</v>
      </c>
      <c r="N39" s="99">
        <f>ผลงานรวมทีม!E28</f>
        <v>98.13</v>
      </c>
      <c r="O39" s="281">
        <f t="shared" si="0"/>
        <v>0.5</v>
      </c>
      <c r="Q39" s="105">
        <f t="shared" si="1"/>
        <v>5</v>
      </c>
    </row>
    <row r="40" spans="1:17" ht="21" customHeight="1" x14ac:dyDescent="0.4">
      <c r="A40" s="248" t="s">
        <v>139</v>
      </c>
      <c r="B40" s="249"/>
      <c r="C40" s="99">
        <v>2</v>
      </c>
      <c r="D40" s="106" t="s">
        <v>62</v>
      </c>
      <c r="E40" s="106"/>
      <c r="F40" s="107" t="s">
        <v>71</v>
      </c>
      <c r="G40" s="95">
        <v>0.5</v>
      </c>
      <c r="H40" s="101">
        <v>90</v>
      </c>
      <c r="I40" s="102">
        <v>82</v>
      </c>
      <c r="J40" s="102">
        <v>84</v>
      </c>
      <c r="K40" s="102">
        <v>86</v>
      </c>
      <c r="L40" s="102">
        <v>88</v>
      </c>
      <c r="M40" s="102">
        <v>90</v>
      </c>
      <c r="N40" s="99">
        <f>ผลงานรวมทีม!E29</f>
        <v>93.47</v>
      </c>
      <c r="O40" s="281">
        <f t="shared" si="0"/>
        <v>0.5</v>
      </c>
      <c r="Q40" s="105">
        <f t="shared" si="1"/>
        <v>5</v>
      </c>
    </row>
    <row r="41" spans="1:17" ht="21" customHeight="1" x14ac:dyDescent="0.4">
      <c r="A41" s="248" t="s">
        <v>140</v>
      </c>
      <c r="B41" s="249"/>
      <c r="C41" s="99"/>
      <c r="D41" s="106"/>
      <c r="E41" s="106"/>
      <c r="F41" s="107"/>
      <c r="G41" s="95"/>
      <c r="H41" s="101"/>
      <c r="I41" s="102"/>
      <c r="J41" s="102"/>
      <c r="K41" s="102"/>
      <c r="L41" s="102"/>
      <c r="M41" s="102"/>
      <c r="N41" s="99"/>
      <c r="O41" s="281"/>
      <c r="Q41" s="105">
        <f t="shared" si="1"/>
        <v>0</v>
      </c>
    </row>
    <row r="42" spans="1:17" ht="21" customHeight="1" x14ac:dyDescent="0.4">
      <c r="A42" s="248" t="s">
        <v>141</v>
      </c>
      <c r="B42" s="249"/>
      <c r="C42" s="99">
        <v>2</v>
      </c>
      <c r="D42" s="106"/>
      <c r="E42" s="106" t="s">
        <v>62</v>
      </c>
      <c r="F42" s="107" t="s">
        <v>71</v>
      </c>
      <c r="G42" s="95">
        <v>0.5</v>
      </c>
      <c r="H42" s="101">
        <v>90</v>
      </c>
      <c r="I42" s="102">
        <v>82</v>
      </c>
      <c r="J42" s="102">
        <v>84</v>
      </c>
      <c r="K42" s="102">
        <v>86</v>
      </c>
      <c r="L42" s="102">
        <v>88</v>
      </c>
      <c r="M42" s="102">
        <v>90</v>
      </c>
      <c r="N42" s="99">
        <f>ผลงานรายเขต!F31</f>
        <v>93.04</v>
      </c>
      <c r="O42" s="281">
        <f t="shared" ref="O42:O51" si="2">((Q42/5)*G42)</f>
        <v>0.5</v>
      </c>
      <c r="Q42" s="105">
        <f t="shared" si="1"/>
        <v>5</v>
      </c>
    </row>
    <row r="43" spans="1:17" ht="21" customHeight="1" x14ac:dyDescent="0.4">
      <c r="A43" s="248" t="s">
        <v>142</v>
      </c>
      <c r="B43" s="249"/>
      <c r="C43" s="99">
        <v>2</v>
      </c>
      <c r="D43" s="106"/>
      <c r="E43" s="106" t="s">
        <v>62</v>
      </c>
      <c r="F43" s="107" t="s">
        <v>71</v>
      </c>
      <c r="G43" s="95">
        <v>0.5</v>
      </c>
      <c r="H43" s="101">
        <v>90</v>
      </c>
      <c r="I43" s="102">
        <v>82</v>
      </c>
      <c r="J43" s="102">
        <v>84</v>
      </c>
      <c r="K43" s="102">
        <v>86</v>
      </c>
      <c r="L43" s="102">
        <v>88</v>
      </c>
      <c r="M43" s="102">
        <v>90</v>
      </c>
      <c r="N43" s="99">
        <f>ผลงานรายเขต!F32</f>
        <v>93.22</v>
      </c>
      <c r="O43" s="281">
        <f t="shared" si="2"/>
        <v>0.5</v>
      </c>
      <c r="Q43" s="105">
        <f t="shared" si="1"/>
        <v>5</v>
      </c>
    </row>
    <row r="44" spans="1:17" ht="21" customHeight="1" x14ac:dyDescent="0.4">
      <c r="A44" s="248" t="s">
        <v>143</v>
      </c>
      <c r="B44" s="249"/>
      <c r="C44" s="99">
        <v>2</v>
      </c>
      <c r="D44" s="106"/>
      <c r="E44" s="106" t="s">
        <v>62</v>
      </c>
      <c r="F44" s="107" t="s">
        <v>71</v>
      </c>
      <c r="G44" s="95">
        <v>0.5</v>
      </c>
      <c r="H44" s="101">
        <v>90</v>
      </c>
      <c r="I44" s="102">
        <v>82</v>
      </c>
      <c r="J44" s="102">
        <v>84</v>
      </c>
      <c r="K44" s="102">
        <v>86</v>
      </c>
      <c r="L44" s="102">
        <v>88</v>
      </c>
      <c r="M44" s="102">
        <v>90</v>
      </c>
      <c r="N44" s="99">
        <f>ผลงานรายเขต!F33</f>
        <v>83.1</v>
      </c>
      <c r="O44" s="281">
        <f t="shared" si="2"/>
        <v>0.15499999999999972</v>
      </c>
      <c r="Q44" s="105">
        <f t="shared" si="1"/>
        <v>1.5499999999999972</v>
      </c>
    </row>
    <row r="45" spans="1:17" ht="21" customHeight="1" x14ac:dyDescent="0.4">
      <c r="A45" s="248" t="s">
        <v>144</v>
      </c>
      <c r="B45" s="249"/>
      <c r="C45" s="99">
        <v>2</v>
      </c>
      <c r="D45" s="106"/>
      <c r="E45" s="106" t="s">
        <v>62</v>
      </c>
      <c r="F45" s="107" t="s">
        <v>71</v>
      </c>
      <c r="G45" s="95">
        <v>0.5</v>
      </c>
      <c r="H45" s="101">
        <v>90</v>
      </c>
      <c r="I45" s="102">
        <v>82</v>
      </c>
      <c r="J45" s="102">
        <v>84</v>
      </c>
      <c r="K45" s="102">
        <v>86</v>
      </c>
      <c r="L45" s="102">
        <v>88</v>
      </c>
      <c r="M45" s="102">
        <v>90</v>
      </c>
      <c r="N45" s="99">
        <f>ผลงานรายเขต!F34</f>
        <v>98.54</v>
      </c>
      <c r="O45" s="281">
        <f t="shared" si="2"/>
        <v>0.5</v>
      </c>
      <c r="Q45" s="105">
        <f t="shared" si="1"/>
        <v>5</v>
      </c>
    </row>
    <row r="46" spans="1:17" ht="21" customHeight="1" x14ac:dyDescent="0.4">
      <c r="A46" s="248" t="s">
        <v>145</v>
      </c>
      <c r="B46" s="249"/>
      <c r="C46" s="99">
        <v>2</v>
      </c>
      <c r="D46" s="106"/>
      <c r="E46" s="106" t="s">
        <v>62</v>
      </c>
      <c r="F46" s="107" t="s">
        <v>71</v>
      </c>
      <c r="G46" s="95">
        <v>0.5</v>
      </c>
      <c r="H46" s="101">
        <v>90</v>
      </c>
      <c r="I46" s="102">
        <v>82</v>
      </c>
      <c r="J46" s="102">
        <v>84</v>
      </c>
      <c r="K46" s="102">
        <v>86</v>
      </c>
      <c r="L46" s="102">
        <v>88</v>
      </c>
      <c r="M46" s="102">
        <v>90</v>
      </c>
      <c r="N46" s="99">
        <f>ผลงานรายเขต!F35</f>
        <v>100</v>
      </c>
      <c r="O46" s="281">
        <f t="shared" si="2"/>
        <v>0.5</v>
      </c>
      <c r="Q46" s="105">
        <f t="shared" si="1"/>
        <v>5</v>
      </c>
    </row>
    <row r="47" spans="1:17" ht="21" customHeight="1" x14ac:dyDescent="0.4">
      <c r="A47" s="248" t="s">
        <v>146</v>
      </c>
      <c r="B47" s="249"/>
      <c r="C47" s="99">
        <v>2</v>
      </c>
      <c r="D47" s="106"/>
      <c r="E47" s="106" t="s">
        <v>62</v>
      </c>
      <c r="F47" s="107" t="s">
        <v>71</v>
      </c>
      <c r="G47" s="95">
        <v>0.5</v>
      </c>
      <c r="H47" s="101">
        <v>90</v>
      </c>
      <c r="I47" s="102">
        <v>82</v>
      </c>
      <c r="J47" s="102">
        <v>84</v>
      </c>
      <c r="K47" s="102">
        <v>86</v>
      </c>
      <c r="L47" s="102">
        <v>88</v>
      </c>
      <c r="M47" s="102">
        <v>90</v>
      </c>
      <c r="N47" s="99">
        <f>ผลงานรายเขต!F36</f>
        <v>99.18</v>
      </c>
      <c r="O47" s="281">
        <f t="shared" si="2"/>
        <v>0.5</v>
      </c>
      <c r="Q47" s="105">
        <f t="shared" si="1"/>
        <v>5</v>
      </c>
    </row>
    <row r="48" spans="1:17" ht="21" customHeight="1" x14ac:dyDescent="0.4">
      <c r="A48" s="248" t="s">
        <v>147</v>
      </c>
      <c r="B48" s="249"/>
      <c r="C48" s="99">
        <v>2</v>
      </c>
      <c r="D48" s="106"/>
      <c r="E48" s="106" t="s">
        <v>62</v>
      </c>
      <c r="F48" s="107" t="s">
        <v>71</v>
      </c>
      <c r="G48" s="95">
        <v>0.5</v>
      </c>
      <c r="H48" s="101">
        <v>90</v>
      </c>
      <c r="I48" s="102">
        <v>82</v>
      </c>
      <c r="J48" s="102">
        <v>84</v>
      </c>
      <c r="K48" s="102">
        <v>86</v>
      </c>
      <c r="L48" s="102">
        <v>88</v>
      </c>
      <c r="M48" s="102">
        <v>90</v>
      </c>
      <c r="N48" s="99">
        <f>ผลงานรายเขต!F37</f>
        <v>100</v>
      </c>
      <c r="O48" s="281">
        <f t="shared" si="2"/>
        <v>0.5</v>
      </c>
      <c r="Q48" s="105">
        <f t="shared" si="1"/>
        <v>5</v>
      </c>
    </row>
    <row r="49" spans="1:17" ht="21" customHeight="1" x14ac:dyDescent="0.4">
      <c r="A49" s="248" t="s">
        <v>148</v>
      </c>
      <c r="B49" s="249"/>
      <c r="C49" s="99">
        <v>2</v>
      </c>
      <c r="D49" s="106"/>
      <c r="E49" s="106" t="s">
        <v>62</v>
      </c>
      <c r="F49" s="107" t="s">
        <v>71</v>
      </c>
      <c r="G49" s="95">
        <v>0.5</v>
      </c>
      <c r="H49" s="101">
        <v>90</v>
      </c>
      <c r="I49" s="102">
        <v>82</v>
      </c>
      <c r="J49" s="102">
        <v>84</v>
      </c>
      <c r="K49" s="102">
        <v>86</v>
      </c>
      <c r="L49" s="102">
        <v>88</v>
      </c>
      <c r="M49" s="102">
        <v>90</v>
      </c>
      <c r="N49" s="99">
        <f>ผลงานรายเขต!F38</f>
        <v>100</v>
      </c>
      <c r="O49" s="281">
        <f t="shared" si="2"/>
        <v>0.5</v>
      </c>
      <c r="Q49" s="105">
        <f t="shared" si="1"/>
        <v>5</v>
      </c>
    </row>
    <row r="50" spans="1:17" ht="21" customHeight="1" x14ac:dyDescent="0.4">
      <c r="A50" s="248" t="s">
        <v>149</v>
      </c>
      <c r="B50" s="249"/>
      <c r="C50" s="99">
        <v>2</v>
      </c>
      <c r="D50" s="106"/>
      <c r="E50" s="106" t="s">
        <v>62</v>
      </c>
      <c r="F50" s="107" t="s">
        <v>71</v>
      </c>
      <c r="G50" s="95">
        <v>0.5</v>
      </c>
      <c r="H50" s="101">
        <v>90</v>
      </c>
      <c r="I50" s="102">
        <v>82</v>
      </c>
      <c r="J50" s="102">
        <v>84</v>
      </c>
      <c r="K50" s="102">
        <v>86</v>
      </c>
      <c r="L50" s="102">
        <v>88</v>
      </c>
      <c r="M50" s="102">
        <v>90</v>
      </c>
      <c r="N50" s="99">
        <f>ผลงานรายเขต!F39</f>
        <v>99.18</v>
      </c>
      <c r="O50" s="281">
        <f t="shared" si="2"/>
        <v>0.5</v>
      </c>
      <c r="Q50" s="105">
        <f t="shared" si="1"/>
        <v>5</v>
      </c>
    </row>
    <row r="51" spans="1:17" ht="21" customHeight="1" x14ac:dyDescent="0.4">
      <c r="A51" s="248" t="s">
        <v>150</v>
      </c>
      <c r="B51" s="249"/>
      <c r="C51" s="99">
        <v>2</v>
      </c>
      <c r="D51" s="106"/>
      <c r="E51" s="106" t="s">
        <v>62</v>
      </c>
      <c r="F51" s="107" t="s">
        <v>71</v>
      </c>
      <c r="G51" s="95">
        <v>0.5</v>
      </c>
      <c r="H51" s="101">
        <v>90</v>
      </c>
      <c r="I51" s="102">
        <v>82</v>
      </c>
      <c r="J51" s="102">
        <v>84</v>
      </c>
      <c r="K51" s="102">
        <v>86</v>
      </c>
      <c r="L51" s="102">
        <v>88</v>
      </c>
      <c r="M51" s="102">
        <v>90</v>
      </c>
      <c r="N51" s="99">
        <f>ผลงานรายเขต!F40</f>
        <v>99.71</v>
      </c>
      <c r="O51" s="281">
        <f t="shared" si="2"/>
        <v>0.5</v>
      </c>
      <c r="Q51" s="105">
        <f t="shared" si="1"/>
        <v>5</v>
      </c>
    </row>
    <row r="52" spans="1:17" ht="21" customHeight="1" x14ac:dyDescent="0.4">
      <c r="A52" s="248" t="s">
        <v>151</v>
      </c>
      <c r="B52" s="249"/>
      <c r="C52" s="99"/>
      <c r="D52" s="106"/>
      <c r="E52" s="106"/>
      <c r="F52" s="107"/>
      <c r="G52" s="95"/>
      <c r="H52" s="101"/>
      <c r="I52" s="102"/>
      <c r="J52" s="102"/>
      <c r="K52" s="102"/>
      <c r="L52" s="102"/>
      <c r="M52" s="102"/>
      <c r="N52" s="99"/>
      <c r="O52" s="281"/>
      <c r="Q52" s="105">
        <f t="shared" si="1"/>
        <v>0</v>
      </c>
    </row>
    <row r="53" spans="1:17" ht="21" customHeight="1" x14ac:dyDescent="0.4">
      <c r="A53" s="248" t="s">
        <v>152</v>
      </c>
      <c r="B53" s="249"/>
      <c r="C53" s="99">
        <v>2</v>
      </c>
      <c r="D53" s="106"/>
      <c r="E53" s="106" t="s">
        <v>62</v>
      </c>
      <c r="F53" s="107" t="s">
        <v>71</v>
      </c>
      <c r="G53" s="95">
        <v>0.5</v>
      </c>
      <c r="H53" s="101">
        <v>98.5</v>
      </c>
      <c r="I53" s="102">
        <v>94.5</v>
      </c>
      <c r="J53" s="102">
        <v>95.5</v>
      </c>
      <c r="K53" s="102">
        <v>96.5</v>
      </c>
      <c r="L53" s="102">
        <v>97.5</v>
      </c>
      <c r="M53" s="102">
        <v>98.5</v>
      </c>
      <c r="N53" s="99">
        <f>ผลงานรายเขต!F42</f>
        <v>100</v>
      </c>
      <c r="O53" s="281">
        <f t="shared" si="0"/>
        <v>0.5</v>
      </c>
      <c r="Q53" s="105">
        <f t="shared" si="1"/>
        <v>5</v>
      </c>
    </row>
    <row r="54" spans="1:17" ht="21" customHeight="1" x14ac:dyDescent="0.4">
      <c r="A54" s="248" t="s">
        <v>153</v>
      </c>
      <c r="B54" s="249"/>
      <c r="C54" s="99">
        <v>2</v>
      </c>
      <c r="D54" s="106"/>
      <c r="E54" s="106" t="s">
        <v>62</v>
      </c>
      <c r="F54" s="107" t="s">
        <v>71</v>
      </c>
      <c r="G54" s="95">
        <v>0.5</v>
      </c>
      <c r="H54" s="101">
        <v>98.5</v>
      </c>
      <c r="I54" s="102">
        <v>94.5</v>
      </c>
      <c r="J54" s="102">
        <v>95.5</v>
      </c>
      <c r="K54" s="102">
        <v>96.5</v>
      </c>
      <c r="L54" s="102">
        <v>97.5</v>
      </c>
      <c r="M54" s="102">
        <v>98.5</v>
      </c>
      <c r="N54" s="99">
        <f>ผลงานรายเขต!F43</f>
        <v>100</v>
      </c>
      <c r="O54" s="281">
        <f t="shared" si="0"/>
        <v>0.5</v>
      </c>
      <c r="Q54" s="105">
        <f t="shared" si="1"/>
        <v>5</v>
      </c>
    </row>
    <row r="55" spans="1:17" ht="21" customHeight="1" x14ac:dyDescent="0.4">
      <c r="A55" s="248" t="s">
        <v>154</v>
      </c>
      <c r="B55" s="249"/>
      <c r="C55" s="99">
        <v>2</v>
      </c>
      <c r="D55" s="106"/>
      <c r="E55" s="106" t="s">
        <v>62</v>
      </c>
      <c r="F55" s="107" t="s">
        <v>71</v>
      </c>
      <c r="G55" s="95">
        <v>0.5</v>
      </c>
      <c r="H55" s="101">
        <v>98.5</v>
      </c>
      <c r="I55" s="102">
        <v>94.5</v>
      </c>
      <c r="J55" s="102">
        <v>95.5</v>
      </c>
      <c r="K55" s="102">
        <v>96.5</v>
      </c>
      <c r="L55" s="102">
        <v>97.5</v>
      </c>
      <c r="M55" s="102">
        <v>98.5</v>
      </c>
      <c r="N55" s="99">
        <f>ผลงานรายเขต!F44</f>
        <v>99.04</v>
      </c>
      <c r="O55" s="281">
        <f t="shared" si="0"/>
        <v>0.5</v>
      </c>
      <c r="Q55" s="105">
        <f t="shared" si="1"/>
        <v>5</v>
      </c>
    </row>
    <row r="56" spans="1:17" ht="21" customHeight="1" x14ac:dyDescent="0.4">
      <c r="A56" s="248" t="s">
        <v>155</v>
      </c>
      <c r="B56" s="249"/>
      <c r="C56" s="99">
        <v>2</v>
      </c>
      <c r="D56" s="106"/>
      <c r="E56" s="106" t="s">
        <v>62</v>
      </c>
      <c r="F56" s="107" t="s">
        <v>71</v>
      </c>
      <c r="G56" s="95">
        <v>0.5</v>
      </c>
      <c r="H56" s="101">
        <v>98.5</v>
      </c>
      <c r="I56" s="102">
        <v>94.5</v>
      </c>
      <c r="J56" s="102">
        <v>95.5</v>
      </c>
      <c r="K56" s="102">
        <v>96.5</v>
      </c>
      <c r="L56" s="102">
        <v>97.5</v>
      </c>
      <c r="M56" s="102">
        <v>98.5</v>
      </c>
      <c r="N56" s="99">
        <f>ผลงานรายเขต!F45</f>
        <v>100</v>
      </c>
      <c r="O56" s="281">
        <f t="shared" si="0"/>
        <v>0.5</v>
      </c>
      <c r="Q56" s="105">
        <f t="shared" si="1"/>
        <v>5</v>
      </c>
    </row>
    <row r="57" spans="1:17" ht="21" customHeight="1" x14ac:dyDescent="0.4">
      <c r="A57" s="248" t="s">
        <v>156</v>
      </c>
      <c r="B57" s="249"/>
      <c r="C57" s="99">
        <v>2</v>
      </c>
      <c r="D57" s="106"/>
      <c r="E57" s="106" t="s">
        <v>62</v>
      </c>
      <c r="F57" s="107" t="s">
        <v>71</v>
      </c>
      <c r="G57" s="95">
        <v>0.5</v>
      </c>
      <c r="H57" s="101">
        <v>98.5</v>
      </c>
      <c r="I57" s="102">
        <v>94.5</v>
      </c>
      <c r="J57" s="102">
        <v>95.5</v>
      </c>
      <c r="K57" s="102">
        <v>96.5</v>
      </c>
      <c r="L57" s="102">
        <v>97.5</v>
      </c>
      <c r="M57" s="102">
        <v>98.5</v>
      </c>
      <c r="N57" s="99">
        <f>ผลงานรายเขต!F46</f>
        <v>100</v>
      </c>
      <c r="O57" s="281">
        <f t="shared" si="0"/>
        <v>0.5</v>
      </c>
      <c r="Q57" s="105">
        <f t="shared" si="1"/>
        <v>5</v>
      </c>
    </row>
    <row r="58" spans="1:17" ht="21" customHeight="1" x14ac:dyDescent="0.4">
      <c r="A58" s="248" t="s">
        <v>157</v>
      </c>
      <c r="B58" s="249"/>
      <c r="C58" s="99">
        <v>2</v>
      </c>
      <c r="D58" s="106"/>
      <c r="E58" s="106" t="s">
        <v>62</v>
      </c>
      <c r="F58" s="107" t="s">
        <v>71</v>
      </c>
      <c r="G58" s="95">
        <v>0.5</v>
      </c>
      <c r="H58" s="101">
        <v>98.5</v>
      </c>
      <c r="I58" s="102">
        <v>94.5</v>
      </c>
      <c r="J58" s="102">
        <v>95.5</v>
      </c>
      <c r="K58" s="102">
        <v>96.5</v>
      </c>
      <c r="L58" s="102">
        <v>97.5</v>
      </c>
      <c r="M58" s="102">
        <v>98.5</v>
      </c>
      <c r="N58" s="99">
        <f>ผลงานรายเขต!F47</f>
        <v>98.75</v>
      </c>
      <c r="O58" s="281">
        <f t="shared" si="0"/>
        <v>0.5</v>
      </c>
      <c r="Q58" s="105">
        <f t="shared" si="1"/>
        <v>5</v>
      </c>
    </row>
    <row r="59" spans="1:17" ht="21" customHeight="1" x14ac:dyDescent="0.4">
      <c r="A59" s="248" t="s">
        <v>158</v>
      </c>
      <c r="B59" s="249"/>
      <c r="C59" s="99">
        <v>2</v>
      </c>
      <c r="D59" s="106"/>
      <c r="E59" s="106" t="s">
        <v>62</v>
      </c>
      <c r="F59" s="107" t="s">
        <v>71</v>
      </c>
      <c r="G59" s="95">
        <v>0.5</v>
      </c>
      <c r="H59" s="101">
        <v>98.5</v>
      </c>
      <c r="I59" s="102">
        <v>94.5</v>
      </c>
      <c r="J59" s="102">
        <v>95.5</v>
      </c>
      <c r="K59" s="102">
        <v>96.5</v>
      </c>
      <c r="L59" s="102">
        <v>97.5</v>
      </c>
      <c r="M59" s="102">
        <v>98.5</v>
      </c>
      <c r="N59" s="99">
        <f>ผลงานรายเขต!F48</f>
        <v>98.54</v>
      </c>
      <c r="O59" s="281">
        <f t="shared" si="0"/>
        <v>0.5</v>
      </c>
      <c r="Q59" s="105">
        <f t="shared" si="1"/>
        <v>5</v>
      </c>
    </row>
    <row r="60" spans="1:17" ht="21" customHeight="1" x14ac:dyDescent="0.4">
      <c r="A60" s="248" t="s">
        <v>159</v>
      </c>
      <c r="B60" s="249"/>
      <c r="C60" s="99">
        <v>2</v>
      </c>
      <c r="D60" s="106"/>
      <c r="E60" s="106" t="s">
        <v>62</v>
      </c>
      <c r="F60" s="107" t="s">
        <v>71</v>
      </c>
      <c r="G60" s="95">
        <v>0.5</v>
      </c>
      <c r="H60" s="101">
        <v>98.5</v>
      </c>
      <c r="I60" s="102">
        <v>94.5</v>
      </c>
      <c r="J60" s="102">
        <v>95.5</v>
      </c>
      <c r="K60" s="102">
        <v>96.5</v>
      </c>
      <c r="L60" s="102">
        <v>97.5</v>
      </c>
      <c r="M60" s="102">
        <v>98.5</v>
      </c>
      <c r="N60" s="99">
        <f>ผลงานรายเขต!F49</f>
        <v>100</v>
      </c>
      <c r="O60" s="281">
        <f t="shared" si="0"/>
        <v>0.5</v>
      </c>
      <c r="Q60" s="105">
        <f t="shared" si="1"/>
        <v>5</v>
      </c>
    </row>
    <row r="61" spans="1:17" ht="21" customHeight="1" x14ac:dyDescent="0.4">
      <c r="A61" s="248" t="s">
        <v>160</v>
      </c>
      <c r="B61" s="249"/>
      <c r="C61" s="99">
        <v>2</v>
      </c>
      <c r="D61" s="106"/>
      <c r="E61" s="106" t="s">
        <v>62</v>
      </c>
      <c r="F61" s="107" t="s">
        <v>71</v>
      </c>
      <c r="G61" s="95">
        <v>0.5</v>
      </c>
      <c r="H61" s="101">
        <v>98.5</v>
      </c>
      <c r="I61" s="102">
        <v>94.5</v>
      </c>
      <c r="J61" s="102">
        <v>95.5</v>
      </c>
      <c r="K61" s="102">
        <v>96.5</v>
      </c>
      <c r="L61" s="102">
        <v>97.5</v>
      </c>
      <c r="M61" s="102">
        <v>98.5</v>
      </c>
      <c r="N61" s="99">
        <f>ผลงานรายเขต!F50</f>
        <v>99.18</v>
      </c>
      <c r="O61" s="281">
        <f t="shared" si="0"/>
        <v>0.5</v>
      </c>
      <c r="Q61" s="105">
        <f t="shared" si="1"/>
        <v>5</v>
      </c>
    </row>
    <row r="62" spans="1:17" ht="21" customHeight="1" x14ac:dyDescent="0.4">
      <c r="A62" s="248" t="s">
        <v>161</v>
      </c>
      <c r="B62" s="249"/>
      <c r="C62" s="99">
        <v>2</v>
      </c>
      <c r="D62" s="106"/>
      <c r="E62" s="106" t="s">
        <v>62</v>
      </c>
      <c r="F62" s="107" t="s">
        <v>71</v>
      </c>
      <c r="G62" s="95">
        <v>0.5</v>
      </c>
      <c r="H62" s="101">
        <v>98.5</v>
      </c>
      <c r="I62" s="102">
        <v>94.5</v>
      </c>
      <c r="J62" s="102">
        <v>95.5</v>
      </c>
      <c r="K62" s="102">
        <v>96.5</v>
      </c>
      <c r="L62" s="102">
        <v>97.5</v>
      </c>
      <c r="M62" s="102">
        <v>98.5</v>
      </c>
      <c r="N62" s="99">
        <f>ผลงานรายเขต!F51</f>
        <v>100</v>
      </c>
      <c r="O62" s="281">
        <f t="shared" si="0"/>
        <v>0.5</v>
      </c>
      <c r="Q62" s="105">
        <f t="shared" si="1"/>
        <v>5</v>
      </c>
    </row>
    <row r="63" spans="1:17" ht="21" customHeight="1" x14ac:dyDescent="0.4">
      <c r="A63" s="248" t="s">
        <v>162</v>
      </c>
      <c r="B63" s="249"/>
      <c r="C63" s="99">
        <v>2</v>
      </c>
      <c r="D63" s="106"/>
      <c r="E63" s="106" t="s">
        <v>62</v>
      </c>
      <c r="F63" s="107" t="s">
        <v>71</v>
      </c>
      <c r="G63" s="95">
        <v>0.5</v>
      </c>
      <c r="H63" s="101">
        <v>98.5</v>
      </c>
      <c r="I63" s="102">
        <v>94.5</v>
      </c>
      <c r="J63" s="102">
        <v>95.5</v>
      </c>
      <c r="K63" s="102">
        <v>96.5</v>
      </c>
      <c r="L63" s="102">
        <v>97.5</v>
      </c>
      <c r="M63" s="102">
        <v>98.5</v>
      </c>
      <c r="N63" s="99">
        <f>ผลงานรายเขต!F52</f>
        <v>100</v>
      </c>
      <c r="O63" s="281">
        <f t="shared" si="0"/>
        <v>0.5</v>
      </c>
      <c r="Q63" s="105">
        <f t="shared" si="1"/>
        <v>5</v>
      </c>
    </row>
    <row r="64" spans="1:17" ht="21" customHeight="1" x14ac:dyDescent="0.4">
      <c r="A64" s="248" t="s">
        <v>163</v>
      </c>
      <c r="B64" s="249"/>
      <c r="C64" s="99">
        <v>2</v>
      </c>
      <c r="D64" s="106"/>
      <c r="E64" s="106" t="s">
        <v>62</v>
      </c>
      <c r="F64" s="107" t="s">
        <v>71</v>
      </c>
      <c r="G64" s="95">
        <v>0.5</v>
      </c>
      <c r="H64" s="101">
        <v>98.5</v>
      </c>
      <c r="I64" s="102">
        <v>94.5</v>
      </c>
      <c r="J64" s="102">
        <v>95.5</v>
      </c>
      <c r="K64" s="102">
        <v>96.5</v>
      </c>
      <c r="L64" s="102">
        <v>97.5</v>
      </c>
      <c r="M64" s="102">
        <v>98.5</v>
      </c>
      <c r="N64" s="99">
        <f>ผลงานรายเขต!F53</f>
        <v>96.04</v>
      </c>
      <c r="O64" s="281">
        <f t="shared" si="0"/>
        <v>0.25400000000000061</v>
      </c>
      <c r="Q64" s="105">
        <f t="shared" si="1"/>
        <v>2.5400000000000063</v>
      </c>
    </row>
    <row r="65" spans="1:17" ht="21" customHeight="1" x14ac:dyDescent="0.4">
      <c r="A65" s="248" t="s">
        <v>164</v>
      </c>
      <c r="B65" s="249"/>
      <c r="C65" s="99">
        <v>2</v>
      </c>
      <c r="D65" s="106"/>
      <c r="E65" s="106" t="s">
        <v>62</v>
      </c>
      <c r="F65" s="107" t="s">
        <v>71</v>
      </c>
      <c r="G65" s="107">
        <v>3</v>
      </c>
      <c r="H65" s="101">
        <v>65</v>
      </c>
      <c r="I65" s="102">
        <v>45</v>
      </c>
      <c r="J65" s="102">
        <v>50</v>
      </c>
      <c r="K65" s="102">
        <v>55</v>
      </c>
      <c r="L65" s="102">
        <v>60</v>
      </c>
      <c r="M65" s="102">
        <v>65</v>
      </c>
      <c r="N65" s="99">
        <f>ผลงานรายเขต!F61</f>
        <v>64.11</v>
      </c>
      <c r="O65" s="281">
        <f t="shared" si="0"/>
        <v>2.8932000000000002</v>
      </c>
      <c r="Q65" s="105">
        <f t="shared" si="1"/>
        <v>4.8220000000000001</v>
      </c>
    </row>
    <row r="66" spans="1:17" ht="21" customHeight="1" x14ac:dyDescent="0.4">
      <c r="A66" s="248" t="s">
        <v>165</v>
      </c>
      <c r="B66" s="249"/>
      <c r="C66" s="99">
        <v>2</v>
      </c>
      <c r="D66" s="106"/>
      <c r="E66" s="106" t="s">
        <v>62</v>
      </c>
      <c r="F66" s="107" t="s">
        <v>59</v>
      </c>
      <c r="G66" s="107">
        <v>4</v>
      </c>
      <c r="H66" s="101">
        <v>7.02</v>
      </c>
      <c r="I66" s="102">
        <v>5.9</v>
      </c>
      <c r="J66" s="102">
        <v>6.18</v>
      </c>
      <c r="K66" s="102">
        <v>6.46</v>
      </c>
      <c r="L66" s="102">
        <v>6.74</v>
      </c>
      <c r="M66" s="102">
        <v>7.02</v>
      </c>
      <c r="N66" s="99">
        <f>ผลงานรายเขต!F55</f>
        <v>6.78</v>
      </c>
      <c r="O66" s="281">
        <f t="shared" si="0"/>
        <v>3.3142857142857145</v>
      </c>
      <c r="Q66" s="105">
        <f t="shared" si="1"/>
        <v>4.1428571428571432</v>
      </c>
    </row>
    <row r="67" spans="1:17" ht="21" customHeight="1" x14ac:dyDescent="0.4">
      <c r="A67" s="248" t="s">
        <v>166</v>
      </c>
      <c r="B67" s="249"/>
      <c r="C67" s="99">
        <v>2</v>
      </c>
      <c r="D67" s="106"/>
      <c r="E67" s="106" t="s">
        <v>62</v>
      </c>
      <c r="F67" s="107" t="s">
        <v>71</v>
      </c>
      <c r="G67" s="107">
        <v>4</v>
      </c>
      <c r="H67" s="101">
        <v>80</v>
      </c>
      <c r="I67" s="102">
        <v>68</v>
      </c>
      <c r="J67" s="102">
        <v>71</v>
      </c>
      <c r="K67" s="102">
        <v>74</v>
      </c>
      <c r="L67" s="102">
        <v>77</v>
      </c>
      <c r="M67" s="102">
        <v>80</v>
      </c>
      <c r="N67" s="99">
        <f>ผลงานรายเขต!F54</f>
        <v>97.43</v>
      </c>
      <c r="O67" s="281">
        <f t="shared" si="0"/>
        <v>4</v>
      </c>
      <c r="Q67" s="105">
        <f t="shared" si="1"/>
        <v>5</v>
      </c>
    </row>
    <row r="68" spans="1:17" ht="21" customHeight="1" x14ac:dyDescent="0.4">
      <c r="A68" s="248" t="s">
        <v>167</v>
      </c>
      <c r="B68" s="249"/>
      <c r="C68" s="99">
        <v>2</v>
      </c>
      <c r="D68" s="106" t="s">
        <v>62</v>
      </c>
      <c r="E68" s="106"/>
      <c r="F68" s="107" t="s">
        <v>59</v>
      </c>
      <c r="G68" s="107">
        <v>4</v>
      </c>
      <c r="H68" s="101">
        <v>20.95</v>
      </c>
      <c r="I68" s="102">
        <v>23.46</v>
      </c>
      <c r="J68" s="102">
        <v>22.65</v>
      </c>
      <c r="K68" s="102">
        <v>22</v>
      </c>
      <c r="L68" s="102">
        <v>21.35</v>
      </c>
      <c r="M68" s="102">
        <v>20.95</v>
      </c>
      <c r="N68" s="99">
        <f>ผลงานรวมทีม!E56</f>
        <v>10.43</v>
      </c>
      <c r="O68" s="281">
        <f t="shared" si="0"/>
        <v>4</v>
      </c>
      <c r="Q68" s="105">
        <f>IF(N68&lt;=M68,5,IF(N68&lt;=L68,5-ABS(N68-M68)/(L68-M68),IF(N68&lt;=K68,4-ABS(N68-L68)/(K68-L68),IF(N68&lt;=J68,3-ABS(N68-K68)/(J68-K68),IF(N68&lt;=I68,2-ABS(N68-J68)/(I68-J68),1)))))</f>
        <v>5</v>
      </c>
    </row>
    <row r="69" spans="1:17" ht="21" customHeight="1" x14ac:dyDescent="0.4">
      <c r="A69" s="248"/>
      <c r="B69" s="249"/>
      <c r="C69" s="99"/>
      <c r="D69" s="106"/>
      <c r="E69" s="106"/>
      <c r="F69" s="110"/>
      <c r="G69" s="95"/>
      <c r="H69" s="99"/>
      <c r="I69" s="99"/>
      <c r="J69" s="99"/>
      <c r="K69" s="99"/>
      <c r="L69" s="99"/>
      <c r="M69" s="99"/>
      <c r="N69" s="99"/>
      <c r="O69" s="281"/>
      <c r="Q69" s="105">
        <f t="shared" si="1"/>
        <v>0</v>
      </c>
    </row>
    <row r="70" spans="1:17" x14ac:dyDescent="0.4">
      <c r="A70" s="245" t="s">
        <v>95</v>
      </c>
      <c r="B70" s="246"/>
      <c r="C70" s="246"/>
      <c r="D70" s="246"/>
      <c r="E70" s="246"/>
      <c r="F70" s="247"/>
      <c r="G70" s="95" t="s">
        <v>56</v>
      </c>
      <c r="H70" s="98"/>
      <c r="I70" s="98"/>
      <c r="J70" s="98"/>
      <c r="K70" s="98"/>
      <c r="L70" s="98"/>
      <c r="M70" s="98"/>
      <c r="N70" s="99"/>
      <c r="O70" s="281"/>
      <c r="Q70" s="105">
        <f t="shared" si="1"/>
        <v>0</v>
      </c>
    </row>
    <row r="71" spans="1:17" ht="21" customHeight="1" x14ac:dyDescent="0.4">
      <c r="A71" s="248" t="s">
        <v>96</v>
      </c>
      <c r="B71" s="249"/>
      <c r="C71" s="99"/>
      <c r="D71" s="100" t="s">
        <v>58</v>
      </c>
      <c r="E71" s="100"/>
      <c r="F71" s="107" t="s">
        <v>97</v>
      </c>
      <c r="G71" s="95">
        <v>1</v>
      </c>
      <c r="H71" s="101">
        <v>9</v>
      </c>
      <c r="I71" s="102">
        <v>5</v>
      </c>
      <c r="J71" s="102">
        <v>6</v>
      </c>
      <c r="K71" s="102">
        <v>7</v>
      </c>
      <c r="L71" s="102">
        <v>8</v>
      </c>
      <c r="M71" s="102">
        <v>9</v>
      </c>
      <c r="N71" s="99">
        <v>9</v>
      </c>
      <c r="O71" s="281">
        <f t="shared" si="0"/>
        <v>1</v>
      </c>
      <c r="Q71" s="105">
        <f t="shared" si="1"/>
        <v>5</v>
      </c>
    </row>
    <row r="72" spans="1:17" ht="21" customHeight="1" x14ac:dyDescent="0.4">
      <c r="A72" s="248" t="s">
        <v>98</v>
      </c>
      <c r="B72" s="249"/>
      <c r="C72" s="99"/>
      <c r="D72" s="111"/>
      <c r="E72" s="100" t="s">
        <v>58</v>
      </c>
      <c r="F72" s="112" t="s">
        <v>97</v>
      </c>
      <c r="G72" s="113">
        <v>4</v>
      </c>
      <c r="H72" s="114">
        <v>0</v>
      </c>
      <c r="I72" s="115">
        <v>4</v>
      </c>
      <c r="J72" s="115">
        <v>3</v>
      </c>
      <c r="K72" s="115">
        <v>2</v>
      </c>
      <c r="L72" s="115">
        <v>1</v>
      </c>
      <c r="M72" s="115">
        <v>0</v>
      </c>
      <c r="N72" s="99">
        <v>0</v>
      </c>
      <c r="O72" s="281">
        <f t="shared" si="0"/>
        <v>4</v>
      </c>
      <c r="Q72" s="138">
        <f>IF(N72&lt;=M72,5,IF(N72&lt;=L72,5-ABS(N72-M72)/(L72-M72),IF(N72&lt;=K72,4-ABS(N72-L72)/(K72-L72),IF(N72&lt;=J72,3-ABS(N72-K72)/(J72-K72),IF(N72&lt;=I72,2-ABS(N72-J72)/(I72-J72),1)))))</f>
        <v>5</v>
      </c>
    </row>
    <row r="73" spans="1:17" ht="27" customHeight="1" x14ac:dyDescent="0.4">
      <c r="A73" s="265" t="s">
        <v>99</v>
      </c>
      <c r="B73" s="266"/>
      <c r="C73" s="99">
        <v>5</v>
      </c>
      <c r="D73" s="100"/>
      <c r="E73" s="100" t="s">
        <v>58</v>
      </c>
      <c r="F73" s="107" t="s">
        <v>71</v>
      </c>
      <c r="G73" s="116">
        <v>10</v>
      </c>
      <c r="H73" s="116">
        <v>100</v>
      </c>
      <c r="I73" s="117">
        <v>96</v>
      </c>
      <c r="J73" s="117">
        <v>97</v>
      </c>
      <c r="K73" s="117">
        <v>98</v>
      </c>
      <c r="L73" s="117">
        <v>99</v>
      </c>
      <c r="M73" s="117">
        <v>100</v>
      </c>
      <c r="N73" s="100">
        <v>100</v>
      </c>
      <c r="O73" s="281">
        <f t="shared" si="0"/>
        <v>10</v>
      </c>
      <c r="Q73" s="138">
        <f>IF(N73=0,0,IF(N73&gt;=M73,5,IF(N73&gt;=L73,5-ABS(M73-N73)/(M73-L73),IF(N73&gt;=K73,4-ABS(L73-N73)/(L73-K73),IF(N73&gt;=J73,3-ABS(K73-N73)/(K73-J73),IF(N73&gt;=I73,2-ABS(J73-N73)/(J73-I73),1))))))</f>
        <v>5</v>
      </c>
    </row>
    <row r="74" spans="1:17" x14ac:dyDescent="0.4">
      <c r="A74" s="248"/>
      <c r="B74" s="249"/>
      <c r="C74" s="111"/>
      <c r="D74" s="111"/>
      <c r="E74" s="111"/>
      <c r="F74" s="111"/>
      <c r="G74" s="113">
        <f>SUM(G19:G73)</f>
        <v>70</v>
      </c>
      <c r="H74" s="111"/>
      <c r="I74" s="111"/>
      <c r="J74" s="111"/>
      <c r="K74" s="111"/>
      <c r="L74" s="111"/>
      <c r="M74" s="111"/>
      <c r="N74" s="111"/>
      <c r="O74" s="281"/>
      <c r="Q74" s="105">
        <f t="shared" si="1"/>
        <v>0</v>
      </c>
    </row>
    <row r="75" spans="1:17" ht="27" x14ac:dyDescent="0.45">
      <c r="A75" s="262" t="s">
        <v>100</v>
      </c>
      <c r="B75" s="263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4"/>
      <c r="O75" s="280">
        <f>SUM(O18:O74)</f>
        <v>65.321485714285714</v>
      </c>
    </row>
    <row r="76" spans="1:17" ht="33" x14ac:dyDescent="0.55000000000000004">
      <c r="A76" s="250" t="s">
        <v>101</v>
      </c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2"/>
      <c r="O76" s="282"/>
    </row>
    <row r="77" spans="1:17" x14ac:dyDescent="0.4">
      <c r="A77" s="81" t="s">
        <v>102</v>
      </c>
      <c r="B77" s="81"/>
      <c r="C77" s="81" t="s">
        <v>103</v>
      </c>
    </row>
    <row r="80" spans="1:17" ht="36" x14ac:dyDescent="0.6">
      <c r="A80" s="253" t="s">
        <v>104</v>
      </c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</row>
    <row r="81" spans="1:15" ht="36" x14ac:dyDescent="0.6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283"/>
    </row>
    <row r="82" spans="1:15" ht="30" x14ac:dyDescent="0.5">
      <c r="A82" s="81" t="s">
        <v>105</v>
      </c>
      <c r="B82" s="81" t="str">
        <f>B4</f>
        <v>นายพรพงศ์ สุวรรณวกุล</v>
      </c>
      <c r="C82" s="81" t="s">
        <v>106</v>
      </c>
      <c r="D82" s="119">
        <f>D4</f>
        <v>6200379</v>
      </c>
      <c r="E82" s="81"/>
      <c r="F82" s="81" t="s">
        <v>2</v>
      </c>
      <c r="G82" s="81" t="str">
        <f>B5</f>
        <v>พนักงานพัฒนาธุรกิจ 7</v>
      </c>
      <c r="H82" s="81"/>
      <c r="I82" s="120"/>
      <c r="J82" s="120"/>
      <c r="K82" s="120"/>
      <c r="L82" s="120"/>
      <c r="M82" s="120"/>
      <c r="N82" s="120"/>
      <c r="O82" s="284"/>
    </row>
    <row r="83" spans="1:15" ht="30" x14ac:dyDescent="0.5">
      <c r="A83" s="81" t="s">
        <v>107</v>
      </c>
      <c r="B83" s="81" t="str">
        <f>B6</f>
        <v>ลำพญากลาง</v>
      </c>
      <c r="C83" s="81" t="str">
        <f>D6</f>
        <v>สระบุรี</v>
      </c>
      <c r="E83" s="81" t="s">
        <v>108</v>
      </c>
      <c r="F83" s="80" t="s">
        <v>108</v>
      </c>
      <c r="I83" s="121"/>
      <c r="J83" s="121"/>
      <c r="K83" s="121"/>
      <c r="L83" s="121"/>
      <c r="M83" s="121"/>
      <c r="N83" s="121"/>
      <c r="O83" s="285"/>
    </row>
    <row r="85" spans="1:15" ht="27" x14ac:dyDescent="0.45">
      <c r="A85" s="254" t="s">
        <v>109</v>
      </c>
      <c r="B85" s="255"/>
      <c r="C85" s="256"/>
      <c r="D85" s="254" t="s">
        <v>43</v>
      </c>
      <c r="E85" s="255"/>
      <c r="F85" s="256"/>
      <c r="G85" s="122" t="s">
        <v>44</v>
      </c>
      <c r="H85" s="260" t="s">
        <v>45</v>
      </c>
      <c r="I85" s="262" t="s">
        <v>46</v>
      </c>
      <c r="J85" s="263"/>
      <c r="K85" s="263"/>
      <c r="L85" s="263"/>
      <c r="M85" s="264"/>
      <c r="N85" s="229" t="s">
        <v>47</v>
      </c>
      <c r="O85" s="278" t="s">
        <v>48</v>
      </c>
    </row>
    <row r="86" spans="1:15" ht="27" x14ac:dyDescent="0.45">
      <c r="A86" s="257"/>
      <c r="B86" s="258"/>
      <c r="C86" s="259"/>
      <c r="D86" s="257"/>
      <c r="E86" s="258"/>
      <c r="F86" s="259"/>
      <c r="G86" s="123" t="s">
        <v>52</v>
      </c>
      <c r="H86" s="261"/>
      <c r="I86" s="124">
        <v>1</v>
      </c>
      <c r="J86" s="124">
        <v>2</v>
      </c>
      <c r="K86" s="124">
        <v>3</v>
      </c>
      <c r="L86" s="124" t="s">
        <v>53</v>
      </c>
      <c r="M86" s="124" t="s">
        <v>54</v>
      </c>
      <c r="N86" s="230"/>
      <c r="O86" s="279"/>
    </row>
    <row r="87" spans="1:15" x14ac:dyDescent="0.4">
      <c r="A87" s="245" t="s">
        <v>110</v>
      </c>
      <c r="B87" s="246"/>
      <c r="C87" s="246"/>
      <c r="D87" s="270" t="s">
        <v>111</v>
      </c>
      <c r="E87" s="271"/>
      <c r="F87" s="272"/>
      <c r="G87" s="95">
        <v>7.5</v>
      </c>
      <c r="H87" s="128" t="s">
        <v>112</v>
      </c>
      <c r="I87" s="129" t="s">
        <v>112</v>
      </c>
      <c r="J87" s="129" t="s">
        <v>112</v>
      </c>
      <c r="K87" s="129" t="s">
        <v>112</v>
      </c>
      <c r="L87" s="129" t="s">
        <v>112</v>
      </c>
      <c r="M87" s="129" t="s">
        <v>112</v>
      </c>
      <c r="N87" s="98"/>
      <c r="O87" s="280"/>
    </row>
    <row r="88" spans="1:15" x14ac:dyDescent="0.4">
      <c r="A88" s="245"/>
      <c r="B88" s="246"/>
      <c r="C88" s="246"/>
      <c r="D88" s="130"/>
      <c r="E88" s="131"/>
      <c r="F88" s="132"/>
      <c r="G88" s="133"/>
      <c r="H88" s="134">
        <v>243587</v>
      </c>
      <c r="I88" s="135">
        <v>243633</v>
      </c>
      <c r="J88" s="135">
        <v>243618</v>
      </c>
      <c r="K88" s="135">
        <v>243602</v>
      </c>
      <c r="L88" s="135">
        <v>243587</v>
      </c>
      <c r="M88" s="135">
        <v>243572</v>
      </c>
      <c r="N88" s="99"/>
      <c r="O88" s="281"/>
    </row>
    <row r="89" spans="1:15" x14ac:dyDescent="0.4">
      <c r="A89" s="96"/>
      <c r="B89" s="97"/>
      <c r="C89" s="97"/>
      <c r="D89" s="130"/>
      <c r="E89" s="131"/>
      <c r="F89" s="132"/>
      <c r="G89" s="133"/>
      <c r="H89" s="134"/>
      <c r="I89" s="135"/>
      <c r="J89" s="135"/>
      <c r="K89" s="135"/>
      <c r="L89" s="135"/>
      <c r="M89" s="135"/>
      <c r="N89" s="99"/>
      <c r="O89" s="281"/>
    </row>
    <row r="90" spans="1:15" x14ac:dyDescent="0.4">
      <c r="A90" s="96"/>
      <c r="B90" s="97"/>
      <c r="C90" s="97"/>
      <c r="D90" s="130"/>
      <c r="E90" s="131"/>
      <c r="F90" s="132"/>
      <c r="G90" s="133"/>
      <c r="H90" s="134"/>
      <c r="I90" s="135"/>
      <c r="J90" s="135"/>
      <c r="K90" s="135"/>
      <c r="L90" s="135"/>
      <c r="M90" s="135"/>
      <c r="N90" s="99"/>
      <c r="O90" s="281"/>
    </row>
    <row r="91" spans="1:15" x14ac:dyDescent="0.4">
      <c r="A91" s="96"/>
      <c r="B91" s="97"/>
      <c r="C91" s="97"/>
      <c r="D91" s="125"/>
      <c r="E91" s="126"/>
      <c r="F91" s="127"/>
      <c r="G91" s="95"/>
      <c r="H91" s="133"/>
      <c r="I91" s="98"/>
      <c r="J91" s="98"/>
      <c r="K91" s="98"/>
      <c r="L91" s="98"/>
      <c r="M91" s="98"/>
      <c r="N91" s="99"/>
      <c r="O91" s="281"/>
    </row>
    <row r="92" spans="1:15" x14ac:dyDescent="0.4">
      <c r="A92" s="245" t="s">
        <v>168</v>
      </c>
      <c r="B92" s="246"/>
      <c r="C92" s="246"/>
      <c r="D92" s="270" t="s">
        <v>114</v>
      </c>
      <c r="E92" s="271"/>
      <c r="F92" s="272"/>
      <c r="G92" s="95">
        <v>2.5</v>
      </c>
      <c r="H92" s="128" t="s">
        <v>112</v>
      </c>
      <c r="I92" s="129" t="s">
        <v>112</v>
      </c>
      <c r="J92" s="129" t="s">
        <v>112</v>
      </c>
      <c r="K92" s="129" t="s">
        <v>112</v>
      </c>
      <c r="L92" s="129" t="s">
        <v>112</v>
      </c>
      <c r="M92" s="129" t="s">
        <v>112</v>
      </c>
      <c r="N92" s="99"/>
      <c r="O92" s="281"/>
    </row>
    <row r="93" spans="1:15" x14ac:dyDescent="0.4">
      <c r="A93" s="96"/>
      <c r="B93" s="97"/>
      <c r="C93" s="97"/>
      <c r="D93" s="125"/>
      <c r="E93" s="126"/>
      <c r="F93" s="127"/>
      <c r="G93" s="99"/>
      <c r="H93" s="134">
        <v>243587</v>
      </c>
      <c r="I93" s="135">
        <v>243633</v>
      </c>
      <c r="J93" s="135">
        <v>243618</v>
      </c>
      <c r="K93" s="135">
        <v>243602</v>
      </c>
      <c r="L93" s="135">
        <v>243587</v>
      </c>
      <c r="M93" s="135">
        <v>243572</v>
      </c>
      <c r="N93" s="98" t="s">
        <v>108</v>
      </c>
      <c r="O93" s="281"/>
    </row>
    <row r="94" spans="1:15" x14ac:dyDescent="0.4">
      <c r="A94" s="245"/>
      <c r="B94" s="246"/>
      <c r="C94" s="246"/>
      <c r="D94" s="270"/>
      <c r="E94" s="271"/>
      <c r="F94" s="272"/>
      <c r="G94" s="99"/>
      <c r="H94" s="129"/>
      <c r="I94" s="129"/>
      <c r="J94" s="129"/>
      <c r="K94" s="129"/>
      <c r="L94" s="129"/>
      <c r="M94" s="129"/>
      <c r="N94" s="98"/>
      <c r="O94" s="281"/>
    </row>
    <row r="95" spans="1:15" x14ac:dyDescent="0.4">
      <c r="A95" s="267"/>
      <c r="B95" s="268"/>
      <c r="C95" s="269"/>
      <c r="D95" s="270"/>
      <c r="E95" s="271"/>
      <c r="F95" s="272"/>
      <c r="G95" s="98"/>
      <c r="H95" s="136"/>
      <c r="I95" s="136"/>
      <c r="J95" s="136"/>
      <c r="K95" s="136"/>
      <c r="L95" s="136"/>
      <c r="M95" s="135"/>
      <c r="N95" s="98"/>
      <c r="O95" s="281"/>
    </row>
    <row r="96" spans="1:15" ht="33" x14ac:dyDescent="0.55000000000000004">
      <c r="A96" s="273" t="s">
        <v>115</v>
      </c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5"/>
      <c r="O96" s="286"/>
    </row>
  </sheetData>
  <mergeCells count="114">
    <mergeCell ref="A95:C95"/>
    <mergeCell ref="D95:F95"/>
    <mergeCell ref="A96:N96"/>
    <mergeCell ref="A87:C87"/>
    <mergeCell ref="D87:F87"/>
    <mergeCell ref="A88:C88"/>
    <mergeCell ref="A92:C92"/>
    <mergeCell ref="D92:F92"/>
    <mergeCell ref="A94:C94"/>
    <mergeCell ref="D94:F94"/>
    <mergeCell ref="A76:N76"/>
    <mergeCell ref="A80:O80"/>
    <mergeCell ref="A85:C86"/>
    <mergeCell ref="D85:F86"/>
    <mergeCell ref="H85:H86"/>
    <mergeCell ref="I85:M85"/>
    <mergeCell ref="N85:N86"/>
    <mergeCell ref="O85:O86"/>
    <mergeCell ref="A70:F70"/>
    <mergeCell ref="A71:B71"/>
    <mergeCell ref="A72:B72"/>
    <mergeCell ref="A73:B73"/>
    <mergeCell ref="A74:B74"/>
    <mergeCell ref="A75:N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F27"/>
    <mergeCell ref="A18:F18"/>
    <mergeCell ref="A19:B19"/>
    <mergeCell ref="A20:B20"/>
    <mergeCell ref="A21:B21"/>
    <mergeCell ref="A16:B17"/>
    <mergeCell ref="C16:C17"/>
    <mergeCell ref="D16:E16"/>
    <mergeCell ref="F16:F17"/>
    <mergeCell ref="H16:H17"/>
    <mergeCell ref="A15:O15"/>
    <mergeCell ref="I11:J11"/>
    <mergeCell ref="A12:E12"/>
    <mergeCell ref="G12:H12"/>
    <mergeCell ref="I12:J12"/>
    <mergeCell ref="K12:L12"/>
    <mergeCell ref="M12:O12"/>
    <mergeCell ref="N16:N17"/>
    <mergeCell ref="O16:O17"/>
    <mergeCell ref="I16:M16"/>
    <mergeCell ref="A10:E11"/>
    <mergeCell ref="F10:F11"/>
    <mergeCell ref="G10:H10"/>
    <mergeCell ref="I10:J10"/>
    <mergeCell ref="K10:L11"/>
    <mergeCell ref="M10:O11"/>
    <mergeCell ref="G11:H11"/>
    <mergeCell ref="A13:E13"/>
    <mergeCell ref="G13:H13"/>
    <mergeCell ref="I13:J13"/>
    <mergeCell ref="K13:L13"/>
    <mergeCell ref="M13:O13"/>
    <mergeCell ref="A1:O1"/>
    <mergeCell ref="A2:O2"/>
    <mergeCell ref="F4:H4"/>
    <mergeCell ref="I4:K4"/>
    <mergeCell ref="L4:N4"/>
    <mergeCell ref="F6:H6"/>
    <mergeCell ref="I6:K6"/>
    <mergeCell ref="L6:N6"/>
    <mergeCell ref="F7:H7"/>
    <mergeCell ref="I7:K7"/>
    <mergeCell ref="L7:N7"/>
  </mergeCells>
  <printOptions horizontalCentered="1"/>
  <pageMargins left="0.23622047244094491" right="0.23622047244094491" top="0.35433070866141736" bottom="0.74803149606299213" header="0" footer="0.31496062992125984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6"/>
  <sheetViews>
    <sheetView topLeftCell="A13" zoomScale="80" zoomScaleNormal="80" workbookViewId="0">
      <selection activeCell="C73" sqref="C73"/>
    </sheetView>
  </sheetViews>
  <sheetFormatPr baseColWidth="10" defaultColWidth="9" defaultRowHeight="24" x14ac:dyDescent="0.4"/>
  <cols>
    <col min="1" max="1" width="13.5" style="80" customWidth="1"/>
    <col min="2" max="2" width="64.1640625" style="80" customWidth="1"/>
    <col min="3" max="3" width="17.1640625" style="80" customWidth="1"/>
    <col min="4" max="13" width="10.5" style="80" customWidth="1"/>
    <col min="14" max="14" width="17.5" style="80" customWidth="1"/>
    <col min="15" max="15" width="12.5" style="276" customWidth="1"/>
    <col min="16" max="16" width="0" style="80" hidden="1" customWidth="1"/>
    <col min="17" max="17" width="8.5" style="80" hidden="1" customWidth="1"/>
    <col min="18" max="16384" width="9" style="80"/>
  </cols>
  <sheetData>
    <row r="1" spans="1:15" ht="33" x14ac:dyDescent="0.55000000000000004">
      <c r="A1" s="216" t="s">
        <v>12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2" spans="1:15" ht="33" x14ac:dyDescent="0.55000000000000004">
      <c r="A2" s="216" t="s">
        <v>13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</row>
    <row r="4" spans="1:15" x14ac:dyDescent="0.4">
      <c r="A4" s="81" t="s">
        <v>14</v>
      </c>
      <c r="B4" s="82" t="s">
        <v>10</v>
      </c>
      <c r="C4" s="81" t="s">
        <v>16</v>
      </c>
      <c r="D4" s="83">
        <v>6400134</v>
      </c>
      <c r="E4" s="84"/>
      <c r="F4" s="217" t="s">
        <v>17</v>
      </c>
      <c r="G4" s="218"/>
      <c r="H4" s="219"/>
      <c r="I4" s="217" t="s">
        <v>18</v>
      </c>
      <c r="J4" s="218"/>
      <c r="K4" s="219"/>
      <c r="L4" s="217" t="s">
        <v>117</v>
      </c>
      <c r="M4" s="218"/>
      <c r="N4" s="219"/>
    </row>
    <row r="5" spans="1:15" x14ac:dyDescent="0.4">
      <c r="A5" s="81" t="s">
        <v>20</v>
      </c>
      <c r="B5" s="82" t="s">
        <v>11</v>
      </c>
      <c r="C5" s="81" t="s">
        <v>21</v>
      </c>
      <c r="D5" s="82" t="s">
        <v>118</v>
      </c>
      <c r="E5" s="84"/>
      <c r="F5" s="85"/>
      <c r="H5" s="86"/>
      <c r="I5" s="85"/>
      <c r="K5" s="86"/>
      <c r="L5" s="85"/>
      <c r="N5" s="86"/>
    </row>
    <row r="6" spans="1:15" x14ac:dyDescent="0.4">
      <c r="A6" s="81" t="s">
        <v>22</v>
      </c>
      <c r="B6" s="82" t="s">
        <v>23</v>
      </c>
      <c r="C6" s="81" t="s">
        <v>24</v>
      </c>
      <c r="D6" s="82" t="s">
        <v>25</v>
      </c>
      <c r="E6" s="84"/>
      <c r="F6" s="220" t="s">
        <v>169</v>
      </c>
      <c r="G6" s="221"/>
      <c r="H6" s="222"/>
      <c r="I6" s="220" t="s">
        <v>26</v>
      </c>
      <c r="J6" s="221"/>
      <c r="K6" s="222"/>
      <c r="L6" s="220" t="s">
        <v>28</v>
      </c>
      <c r="M6" s="221"/>
      <c r="N6" s="222"/>
    </row>
    <row r="7" spans="1:15" x14ac:dyDescent="0.4">
      <c r="F7" s="220" t="s">
        <v>29</v>
      </c>
      <c r="G7" s="221"/>
      <c r="H7" s="222"/>
      <c r="I7" s="220" t="s">
        <v>29</v>
      </c>
      <c r="J7" s="221"/>
      <c r="K7" s="222"/>
      <c r="L7" s="220" t="s">
        <v>29</v>
      </c>
      <c r="M7" s="221"/>
      <c r="N7" s="222"/>
    </row>
    <row r="8" spans="1:15" x14ac:dyDescent="0.4">
      <c r="F8" s="88"/>
      <c r="G8" s="89"/>
      <c r="H8" s="90"/>
      <c r="I8" s="88"/>
      <c r="J8" s="89"/>
      <c r="K8" s="90"/>
      <c r="L8" s="88"/>
      <c r="M8" s="89"/>
      <c r="N8" s="90"/>
    </row>
    <row r="10" spans="1:15" ht="21" customHeight="1" x14ac:dyDescent="0.4">
      <c r="A10" s="234" t="s">
        <v>30</v>
      </c>
      <c r="B10" s="235"/>
      <c r="C10" s="235"/>
      <c r="D10" s="235"/>
      <c r="E10" s="236"/>
      <c r="F10" s="229" t="s">
        <v>31</v>
      </c>
      <c r="G10" s="224" t="s">
        <v>32</v>
      </c>
      <c r="H10" s="225"/>
      <c r="I10" s="224" t="s">
        <v>32</v>
      </c>
      <c r="J10" s="225"/>
      <c r="K10" s="234" t="s">
        <v>33</v>
      </c>
      <c r="L10" s="236"/>
      <c r="M10" s="234" t="s">
        <v>4</v>
      </c>
      <c r="N10" s="235"/>
      <c r="O10" s="236"/>
    </row>
    <row r="11" spans="1:15" x14ac:dyDescent="0.4">
      <c r="A11" s="237"/>
      <c r="B11" s="238"/>
      <c r="C11" s="238"/>
      <c r="D11" s="238"/>
      <c r="E11" s="239"/>
      <c r="F11" s="230"/>
      <c r="G11" s="224" t="s">
        <v>34</v>
      </c>
      <c r="H11" s="225"/>
      <c r="I11" s="224" t="s">
        <v>35</v>
      </c>
      <c r="J11" s="225"/>
      <c r="K11" s="237"/>
      <c r="L11" s="239"/>
      <c r="M11" s="237"/>
      <c r="N11" s="238"/>
      <c r="O11" s="239"/>
    </row>
    <row r="12" spans="1:15" x14ac:dyDescent="0.4">
      <c r="A12" s="226" t="s">
        <v>36</v>
      </c>
      <c r="B12" s="227"/>
      <c r="C12" s="227"/>
      <c r="D12" s="227"/>
      <c r="E12" s="228"/>
      <c r="F12" s="92">
        <v>20</v>
      </c>
      <c r="G12" s="220"/>
      <c r="H12" s="222"/>
      <c r="I12" s="220"/>
      <c r="J12" s="222"/>
      <c r="K12" s="220"/>
      <c r="L12" s="222"/>
      <c r="M12" s="220"/>
      <c r="N12" s="221"/>
      <c r="O12" s="222"/>
    </row>
    <row r="13" spans="1:15" x14ac:dyDescent="0.4">
      <c r="A13" s="240" t="s">
        <v>37</v>
      </c>
      <c r="B13" s="223"/>
      <c r="C13" s="223"/>
      <c r="D13" s="223"/>
      <c r="E13" s="241"/>
      <c r="F13" s="93">
        <v>10</v>
      </c>
      <c r="G13" s="242" t="s">
        <v>38</v>
      </c>
      <c r="H13" s="243"/>
      <c r="I13" s="242" t="s">
        <v>38</v>
      </c>
      <c r="J13" s="243"/>
      <c r="K13" s="242">
        <v>10</v>
      </c>
      <c r="L13" s="243"/>
      <c r="M13" s="242"/>
      <c r="N13" s="244"/>
      <c r="O13" s="243"/>
    </row>
    <row r="14" spans="1:15" x14ac:dyDescent="0.4">
      <c r="A14" s="91"/>
      <c r="B14" s="91"/>
      <c r="C14" s="91"/>
      <c r="D14" s="91"/>
      <c r="E14" s="91"/>
      <c r="F14" s="94"/>
      <c r="G14" s="87"/>
      <c r="H14" s="87"/>
      <c r="I14" s="87"/>
      <c r="J14" s="87"/>
      <c r="K14" s="87"/>
      <c r="L14" s="87"/>
      <c r="M14" s="87"/>
      <c r="N14" s="87"/>
      <c r="O14" s="277"/>
    </row>
    <row r="15" spans="1:15" x14ac:dyDescent="0.4">
      <c r="A15" s="223" t="s">
        <v>39</v>
      </c>
      <c r="B15" s="223"/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</row>
    <row r="16" spans="1:15" x14ac:dyDescent="0.4">
      <c r="A16" s="234" t="s">
        <v>40</v>
      </c>
      <c r="B16" s="236"/>
      <c r="C16" s="229" t="s">
        <v>41</v>
      </c>
      <c r="D16" s="231" t="s">
        <v>42</v>
      </c>
      <c r="E16" s="233"/>
      <c r="F16" s="229" t="s">
        <v>43</v>
      </c>
      <c r="G16" s="95" t="s">
        <v>44</v>
      </c>
      <c r="H16" s="229" t="s">
        <v>45</v>
      </c>
      <c r="I16" s="231" t="s">
        <v>46</v>
      </c>
      <c r="J16" s="232"/>
      <c r="K16" s="232"/>
      <c r="L16" s="232"/>
      <c r="M16" s="233"/>
      <c r="N16" s="229" t="s">
        <v>47</v>
      </c>
      <c r="O16" s="278" t="s">
        <v>48</v>
      </c>
    </row>
    <row r="17" spans="1:17" x14ac:dyDescent="0.4">
      <c r="A17" s="237"/>
      <c r="B17" s="239"/>
      <c r="C17" s="230" t="s">
        <v>49</v>
      </c>
      <c r="D17" s="95" t="s">
        <v>50</v>
      </c>
      <c r="E17" s="95" t="s">
        <v>51</v>
      </c>
      <c r="F17" s="230"/>
      <c r="G17" s="95" t="s">
        <v>52</v>
      </c>
      <c r="H17" s="230"/>
      <c r="I17" s="95">
        <v>1</v>
      </c>
      <c r="J17" s="95">
        <v>2</v>
      </c>
      <c r="K17" s="95">
        <v>3</v>
      </c>
      <c r="L17" s="95" t="s">
        <v>53</v>
      </c>
      <c r="M17" s="95" t="s">
        <v>54</v>
      </c>
      <c r="N17" s="230"/>
      <c r="O17" s="279"/>
    </row>
    <row r="18" spans="1:17" x14ac:dyDescent="0.4">
      <c r="A18" s="245" t="s">
        <v>55</v>
      </c>
      <c r="B18" s="246"/>
      <c r="C18" s="246"/>
      <c r="D18" s="246"/>
      <c r="E18" s="246"/>
      <c r="F18" s="247"/>
      <c r="G18" s="95" t="s">
        <v>56</v>
      </c>
      <c r="H18" s="98"/>
      <c r="I18" s="98"/>
      <c r="J18" s="98"/>
      <c r="K18" s="98"/>
      <c r="L18" s="98"/>
      <c r="M18" s="98"/>
      <c r="N18" s="98"/>
      <c r="O18" s="280"/>
    </row>
    <row r="19" spans="1:17" ht="21" customHeight="1" x14ac:dyDescent="0.4">
      <c r="A19" s="248" t="s">
        <v>57</v>
      </c>
      <c r="B19" s="249"/>
      <c r="C19" s="99">
        <v>1</v>
      </c>
      <c r="D19" s="100" t="s">
        <v>58</v>
      </c>
      <c r="E19" s="100"/>
      <c r="F19" s="95" t="s">
        <v>59</v>
      </c>
      <c r="G19" s="95">
        <v>2</v>
      </c>
      <c r="H19" s="101">
        <v>3.44</v>
      </c>
      <c r="I19" s="102">
        <v>2.06</v>
      </c>
      <c r="J19" s="102">
        <v>2.41</v>
      </c>
      <c r="K19" s="102">
        <v>2.75</v>
      </c>
      <c r="L19" s="102">
        <v>3.09</v>
      </c>
      <c r="M19" s="102">
        <v>3.44</v>
      </c>
      <c r="N19" s="103">
        <f>ผลงานรวมทีม!E58</f>
        <v>4.03</v>
      </c>
      <c r="O19" s="281">
        <f t="shared" ref="O19:O73" si="0">((Q19/5)*G19)</f>
        <v>2</v>
      </c>
      <c r="P19" s="80" t="s">
        <v>60</v>
      </c>
      <c r="Q19" s="105">
        <f t="shared" ref="Q19:Q74" si="1">IF(N19=0,0,IF(N19&gt;=M19,5,IF(N19&gt;=L19,5-ABS(M19-N19)/(M19-L19),IF(N19&gt;=K19,4-ABS(L19-N19)/(L19-K19),IF(N19&gt;=J19,3-ABS(K19-N19)/(K19-J19),IF(N19&gt;=I19,2-ABS(J19-N19)/(J19-I19),1))))))</f>
        <v>5</v>
      </c>
    </row>
    <row r="20" spans="1:17" ht="21" customHeight="1" x14ac:dyDescent="0.4">
      <c r="A20" s="248" t="s">
        <v>120</v>
      </c>
      <c r="B20" s="249"/>
      <c r="C20" s="99">
        <v>6</v>
      </c>
      <c r="D20" s="106" t="s">
        <v>62</v>
      </c>
      <c r="E20" s="106"/>
      <c r="F20" s="95" t="s">
        <v>59</v>
      </c>
      <c r="G20" s="107">
        <v>4</v>
      </c>
      <c r="H20" s="101">
        <v>4.05</v>
      </c>
      <c r="I20" s="102">
        <v>2.92</v>
      </c>
      <c r="J20" s="102">
        <v>3.2</v>
      </c>
      <c r="K20" s="102">
        <v>3.48</v>
      </c>
      <c r="L20" s="102">
        <v>3.77</v>
      </c>
      <c r="M20" s="102">
        <v>4.05</v>
      </c>
      <c r="N20" s="99">
        <f>ผลงานรวมทีม!E9</f>
        <v>20</v>
      </c>
      <c r="O20" s="281">
        <f t="shared" si="0"/>
        <v>4</v>
      </c>
      <c r="Q20" s="105">
        <f t="shared" si="1"/>
        <v>5</v>
      </c>
    </row>
    <row r="21" spans="1:17" ht="21" customHeight="1" x14ac:dyDescent="0.4">
      <c r="A21" s="248" t="s">
        <v>121</v>
      </c>
      <c r="B21" s="249"/>
      <c r="C21" s="99">
        <v>2</v>
      </c>
      <c r="D21" s="106" t="s">
        <v>62</v>
      </c>
      <c r="E21" s="100"/>
      <c r="F21" s="95" t="s">
        <v>63</v>
      </c>
      <c r="G21" s="107">
        <v>3</v>
      </c>
      <c r="H21" s="108">
        <v>47</v>
      </c>
      <c r="I21" s="109">
        <v>35</v>
      </c>
      <c r="J21" s="109">
        <v>38</v>
      </c>
      <c r="K21" s="109">
        <v>41</v>
      </c>
      <c r="L21" s="109">
        <v>45</v>
      </c>
      <c r="M21" s="109">
        <v>47</v>
      </c>
      <c r="N21" s="99">
        <f>ผลงานรวมทีม!E10</f>
        <v>57</v>
      </c>
      <c r="O21" s="281">
        <f t="shared" si="0"/>
        <v>3</v>
      </c>
      <c r="Q21" s="105">
        <f t="shared" si="1"/>
        <v>5</v>
      </c>
    </row>
    <row r="22" spans="1:17" ht="21" customHeight="1" x14ac:dyDescent="0.4">
      <c r="A22" s="248" t="s">
        <v>122</v>
      </c>
      <c r="B22" s="249"/>
      <c r="C22" s="99">
        <v>2</v>
      </c>
      <c r="D22" s="106" t="s">
        <v>62</v>
      </c>
      <c r="E22" s="100"/>
      <c r="F22" s="95" t="s">
        <v>63</v>
      </c>
      <c r="G22" s="107">
        <v>3</v>
      </c>
      <c r="H22" s="108">
        <v>280</v>
      </c>
      <c r="I22" s="109">
        <v>193</v>
      </c>
      <c r="J22" s="109">
        <v>204</v>
      </c>
      <c r="K22" s="109">
        <v>248</v>
      </c>
      <c r="L22" s="109">
        <v>276</v>
      </c>
      <c r="M22" s="109">
        <v>280</v>
      </c>
      <c r="N22" s="99">
        <f>ผลงานรวมทีม!E11</f>
        <v>331</v>
      </c>
      <c r="O22" s="281">
        <f t="shared" si="0"/>
        <v>3</v>
      </c>
      <c r="Q22" s="105">
        <f t="shared" si="1"/>
        <v>5</v>
      </c>
    </row>
    <row r="23" spans="1:17" ht="21" customHeight="1" x14ac:dyDescent="0.4">
      <c r="A23" s="248" t="s">
        <v>123</v>
      </c>
      <c r="B23" s="249"/>
      <c r="C23" s="99">
        <v>2</v>
      </c>
      <c r="D23" s="106" t="s">
        <v>62</v>
      </c>
      <c r="E23" s="106"/>
      <c r="F23" s="95" t="s">
        <v>63</v>
      </c>
      <c r="G23" s="107">
        <v>3</v>
      </c>
      <c r="H23" s="101">
        <v>2</v>
      </c>
      <c r="I23" s="102">
        <v>0</v>
      </c>
      <c r="J23" s="102">
        <v>0</v>
      </c>
      <c r="K23" s="102">
        <v>0</v>
      </c>
      <c r="L23" s="102">
        <v>0</v>
      </c>
      <c r="M23" s="102">
        <v>2</v>
      </c>
      <c r="N23" s="99">
        <f>ผลงานรวมทีม!E12</f>
        <v>3</v>
      </c>
      <c r="O23" s="281">
        <f t="shared" si="0"/>
        <v>3</v>
      </c>
      <c r="Q23" s="105">
        <f t="shared" si="1"/>
        <v>5</v>
      </c>
    </row>
    <row r="24" spans="1:17" ht="21" customHeight="1" x14ac:dyDescent="0.4">
      <c r="A24" s="248" t="s">
        <v>124</v>
      </c>
      <c r="B24" s="249"/>
      <c r="C24" s="99"/>
      <c r="D24" s="106"/>
      <c r="E24" s="100"/>
      <c r="F24" s="95"/>
      <c r="G24" s="107"/>
      <c r="H24" s="101"/>
      <c r="I24" s="102"/>
      <c r="J24" s="102"/>
      <c r="K24" s="102"/>
      <c r="L24" s="102"/>
      <c r="M24" s="102"/>
      <c r="N24" s="99"/>
      <c r="O24" s="281"/>
      <c r="Q24" s="105">
        <f t="shared" si="1"/>
        <v>0</v>
      </c>
    </row>
    <row r="25" spans="1:17" ht="21" customHeight="1" x14ac:dyDescent="0.4">
      <c r="A25" s="248" t="s">
        <v>125</v>
      </c>
      <c r="B25" s="249"/>
      <c r="C25" s="99">
        <v>2</v>
      </c>
      <c r="D25" s="106" t="s">
        <v>62</v>
      </c>
      <c r="E25" s="100"/>
      <c r="F25" s="95" t="s">
        <v>59</v>
      </c>
      <c r="G25" s="107">
        <v>4</v>
      </c>
      <c r="H25" s="101">
        <v>8.73</v>
      </c>
      <c r="I25" s="102">
        <v>6.98</v>
      </c>
      <c r="J25" s="102">
        <v>7.42</v>
      </c>
      <c r="K25" s="102">
        <v>7.86</v>
      </c>
      <c r="L25" s="102">
        <v>8.2899999999999991</v>
      </c>
      <c r="M25" s="102">
        <v>8.73</v>
      </c>
      <c r="N25" s="99">
        <f>ผลงานรวมทีม!E14</f>
        <v>10.28</v>
      </c>
      <c r="O25" s="281">
        <f t="shared" si="0"/>
        <v>4</v>
      </c>
      <c r="Q25" s="105">
        <f t="shared" si="1"/>
        <v>5</v>
      </c>
    </row>
    <row r="26" spans="1:17" ht="21" customHeight="1" x14ac:dyDescent="0.4">
      <c r="A26" s="248" t="s">
        <v>126</v>
      </c>
      <c r="B26" s="249"/>
      <c r="C26" s="99">
        <v>2</v>
      </c>
      <c r="D26" s="106" t="s">
        <v>62</v>
      </c>
      <c r="E26" s="100"/>
      <c r="F26" s="95" t="s">
        <v>59</v>
      </c>
      <c r="G26" s="95">
        <v>4</v>
      </c>
      <c r="H26" s="101">
        <v>7.17</v>
      </c>
      <c r="I26" s="102">
        <v>5.74</v>
      </c>
      <c r="J26" s="102">
        <v>6.09</v>
      </c>
      <c r="K26" s="102">
        <v>6.45</v>
      </c>
      <c r="L26" s="102">
        <v>6.85</v>
      </c>
      <c r="M26" s="102">
        <v>7.17</v>
      </c>
      <c r="N26" s="103">
        <f>ผลงานรวมทีม!E15</f>
        <v>-204.38</v>
      </c>
      <c r="O26" s="281">
        <f t="shared" si="0"/>
        <v>0.8</v>
      </c>
      <c r="Q26" s="105">
        <f t="shared" si="1"/>
        <v>1</v>
      </c>
    </row>
    <row r="27" spans="1:17" ht="21" customHeight="1" x14ac:dyDescent="0.4">
      <c r="A27" s="245" t="s">
        <v>68</v>
      </c>
      <c r="B27" s="246"/>
      <c r="C27" s="246"/>
      <c r="D27" s="246"/>
      <c r="E27" s="246"/>
      <c r="F27" s="247"/>
      <c r="G27" s="95"/>
      <c r="H27" s="101"/>
      <c r="I27" s="102"/>
      <c r="J27" s="102"/>
      <c r="K27" s="102"/>
      <c r="L27" s="102"/>
      <c r="M27" s="102"/>
      <c r="N27" s="99"/>
      <c r="O27" s="281"/>
      <c r="Q27" s="105">
        <f t="shared" si="1"/>
        <v>0</v>
      </c>
    </row>
    <row r="28" spans="1:17" ht="21" customHeight="1" x14ac:dyDescent="0.4">
      <c r="A28" s="248" t="s">
        <v>127</v>
      </c>
      <c r="B28" s="249"/>
      <c r="C28" s="99"/>
      <c r="D28" s="100"/>
      <c r="E28" s="100"/>
      <c r="F28" s="107"/>
      <c r="G28" s="95"/>
      <c r="H28" s="101"/>
      <c r="I28" s="102"/>
      <c r="J28" s="102"/>
      <c r="K28" s="102"/>
      <c r="L28" s="102"/>
      <c r="M28" s="102"/>
      <c r="N28" s="99"/>
      <c r="O28" s="281"/>
      <c r="Q28" s="105">
        <f t="shared" si="1"/>
        <v>0</v>
      </c>
    </row>
    <row r="29" spans="1:17" ht="21" customHeight="1" x14ac:dyDescent="0.4">
      <c r="A29" s="248" t="s">
        <v>128</v>
      </c>
      <c r="B29" s="249"/>
      <c r="C29" s="99">
        <v>2</v>
      </c>
      <c r="D29" s="106" t="s">
        <v>62</v>
      </c>
      <c r="E29" s="106"/>
      <c r="F29" s="107" t="s">
        <v>71</v>
      </c>
      <c r="G29" s="95">
        <v>0.5</v>
      </c>
      <c r="H29" s="101">
        <v>85</v>
      </c>
      <c r="I29" s="102">
        <v>77</v>
      </c>
      <c r="J29" s="102">
        <v>79</v>
      </c>
      <c r="K29" s="102">
        <v>81</v>
      </c>
      <c r="L29" s="102">
        <v>83</v>
      </c>
      <c r="M29" s="102">
        <v>85</v>
      </c>
      <c r="N29" s="99">
        <f>ผลงานรวมทีม!E18</f>
        <v>93.04</v>
      </c>
      <c r="O29" s="281">
        <f t="shared" si="0"/>
        <v>0.5</v>
      </c>
      <c r="Q29" s="105">
        <f t="shared" si="1"/>
        <v>5</v>
      </c>
    </row>
    <row r="30" spans="1:17" ht="21" customHeight="1" x14ac:dyDescent="0.4">
      <c r="A30" s="248" t="s">
        <v>129</v>
      </c>
      <c r="B30" s="249"/>
      <c r="C30" s="99">
        <v>2</v>
      </c>
      <c r="D30" s="106" t="s">
        <v>62</v>
      </c>
      <c r="E30" s="106"/>
      <c r="F30" s="107" t="s">
        <v>71</v>
      </c>
      <c r="G30" s="95">
        <v>0.5</v>
      </c>
      <c r="H30" s="101">
        <v>85</v>
      </c>
      <c r="I30" s="102">
        <v>77</v>
      </c>
      <c r="J30" s="102">
        <v>79</v>
      </c>
      <c r="K30" s="102">
        <v>81</v>
      </c>
      <c r="L30" s="102">
        <v>83</v>
      </c>
      <c r="M30" s="102">
        <v>85</v>
      </c>
      <c r="N30" s="99">
        <f>ผลงานรวมทีม!E19</f>
        <v>93.22</v>
      </c>
      <c r="O30" s="281">
        <f t="shared" si="0"/>
        <v>0.5</v>
      </c>
      <c r="Q30" s="105">
        <f t="shared" si="1"/>
        <v>5</v>
      </c>
    </row>
    <row r="31" spans="1:17" ht="21" customHeight="1" x14ac:dyDescent="0.4">
      <c r="A31" s="248" t="s">
        <v>130</v>
      </c>
      <c r="B31" s="249"/>
      <c r="C31" s="99">
        <v>2</v>
      </c>
      <c r="D31" s="106" t="s">
        <v>62</v>
      </c>
      <c r="E31" s="106"/>
      <c r="F31" s="107" t="s">
        <v>71</v>
      </c>
      <c r="G31" s="95">
        <v>0.5</v>
      </c>
      <c r="H31" s="101">
        <v>85</v>
      </c>
      <c r="I31" s="102">
        <v>77</v>
      </c>
      <c r="J31" s="102">
        <v>79</v>
      </c>
      <c r="K31" s="102">
        <v>81</v>
      </c>
      <c r="L31" s="102">
        <v>83</v>
      </c>
      <c r="M31" s="102">
        <v>85</v>
      </c>
      <c r="N31" s="99">
        <f>ผลงานรวมทีม!E20</f>
        <v>83.1</v>
      </c>
      <c r="O31" s="281">
        <f t="shared" si="0"/>
        <v>0.40499999999999969</v>
      </c>
      <c r="Q31" s="105">
        <f t="shared" si="1"/>
        <v>4.0499999999999972</v>
      </c>
    </row>
    <row r="32" spans="1:17" ht="21" customHeight="1" x14ac:dyDescent="0.4">
      <c r="A32" s="248" t="s">
        <v>131</v>
      </c>
      <c r="B32" s="249"/>
      <c r="C32" s="99">
        <v>2</v>
      </c>
      <c r="D32" s="106" t="s">
        <v>62</v>
      </c>
      <c r="E32" s="106"/>
      <c r="F32" s="107" t="s">
        <v>71</v>
      </c>
      <c r="G32" s="95">
        <v>0.5</v>
      </c>
      <c r="H32" s="101">
        <v>85</v>
      </c>
      <c r="I32" s="102">
        <v>77</v>
      </c>
      <c r="J32" s="102">
        <v>79</v>
      </c>
      <c r="K32" s="102">
        <v>81</v>
      </c>
      <c r="L32" s="102">
        <v>83</v>
      </c>
      <c r="M32" s="102">
        <v>85</v>
      </c>
      <c r="N32" s="99">
        <f>ผลงานรวมทีม!E21</f>
        <v>93.54</v>
      </c>
      <c r="O32" s="281">
        <f t="shared" si="0"/>
        <v>0.5</v>
      </c>
      <c r="Q32" s="105">
        <f t="shared" si="1"/>
        <v>5</v>
      </c>
    </row>
    <row r="33" spans="1:17" ht="21" customHeight="1" x14ac:dyDescent="0.4">
      <c r="A33" s="248" t="s">
        <v>132</v>
      </c>
      <c r="B33" s="249"/>
      <c r="C33" s="99">
        <v>2</v>
      </c>
      <c r="D33" s="106" t="s">
        <v>62</v>
      </c>
      <c r="E33" s="106"/>
      <c r="F33" s="107" t="s">
        <v>71</v>
      </c>
      <c r="G33" s="95">
        <v>0.5</v>
      </c>
      <c r="H33" s="101">
        <v>85</v>
      </c>
      <c r="I33" s="102">
        <v>77</v>
      </c>
      <c r="J33" s="102">
        <v>79</v>
      </c>
      <c r="K33" s="102">
        <v>81</v>
      </c>
      <c r="L33" s="102">
        <v>83</v>
      </c>
      <c r="M33" s="102">
        <v>85</v>
      </c>
      <c r="N33" s="99">
        <f>ผลงานรวมทีม!E22</f>
        <v>93.89</v>
      </c>
      <c r="O33" s="281">
        <f t="shared" si="0"/>
        <v>0.5</v>
      </c>
      <c r="Q33" s="105">
        <f t="shared" si="1"/>
        <v>5</v>
      </c>
    </row>
    <row r="34" spans="1:17" ht="21" customHeight="1" x14ac:dyDescent="0.4">
      <c r="A34" s="248" t="s">
        <v>133</v>
      </c>
      <c r="B34" s="249"/>
      <c r="C34" s="99">
        <v>2</v>
      </c>
      <c r="D34" s="106" t="s">
        <v>62</v>
      </c>
      <c r="E34" s="106"/>
      <c r="F34" s="107" t="s">
        <v>71</v>
      </c>
      <c r="G34" s="95">
        <v>0.5</v>
      </c>
      <c r="H34" s="101">
        <v>85</v>
      </c>
      <c r="I34" s="102">
        <v>77</v>
      </c>
      <c r="J34" s="102">
        <v>79</v>
      </c>
      <c r="K34" s="102">
        <v>81</v>
      </c>
      <c r="L34" s="102">
        <v>83</v>
      </c>
      <c r="M34" s="102">
        <v>85</v>
      </c>
      <c r="N34" s="99">
        <f>ผลงานรวมทีม!E23</f>
        <v>99.51</v>
      </c>
      <c r="O34" s="281">
        <f t="shared" si="0"/>
        <v>0.5</v>
      </c>
      <c r="Q34" s="105">
        <f t="shared" si="1"/>
        <v>5</v>
      </c>
    </row>
    <row r="35" spans="1:17" ht="21" customHeight="1" x14ac:dyDescent="0.4">
      <c r="A35" s="248" t="s">
        <v>134</v>
      </c>
      <c r="B35" s="249"/>
      <c r="C35" s="99">
        <v>2</v>
      </c>
      <c r="D35" s="106" t="s">
        <v>62</v>
      </c>
      <c r="E35" s="106"/>
      <c r="F35" s="107" t="s">
        <v>71</v>
      </c>
      <c r="G35" s="95">
        <v>0.5</v>
      </c>
      <c r="H35" s="101">
        <v>85</v>
      </c>
      <c r="I35" s="102">
        <v>77</v>
      </c>
      <c r="J35" s="102">
        <v>79</v>
      </c>
      <c r="K35" s="102">
        <v>81</v>
      </c>
      <c r="L35" s="102">
        <v>83</v>
      </c>
      <c r="M35" s="102">
        <v>85</v>
      </c>
      <c r="N35" s="99">
        <f>ผลงานรวมทีม!E24</f>
        <v>97.86</v>
      </c>
      <c r="O35" s="281">
        <f t="shared" si="0"/>
        <v>0.5</v>
      </c>
      <c r="Q35" s="105">
        <f t="shared" si="1"/>
        <v>5</v>
      </c>
    </row>
    <row r="36" spans="1:17" ht="21" customHeight="1" x14ac:dyDescent="0.4">
      <c r="A36" s="248" t="s">
        <v>135</v>
      </c>
      <c r="B36" s="249"/>
      <c r="C36" s="99">
        <v>2</v>
      </c>
      <c r="D36" s="106" t="s">
        <v>62</v>
      </c>
      <c r="E36" s="106"/>
      <c r="F36" s="107" t="s">
        <v>71</v>
      </c>
      <c r="G36" s="95">
        <v>0.5</v>
      </c>
      <c r="H36" s="101">
        <v>85</v>
      </c>
      <c r="I36" s="102">
        <v>77</v>
      </c>
      <c r="J36" s="102">
        <v>79</v>
      </c>
      <c r="K36" s="102">
        <v>81</v>
      </c>
      <c r="L36" s="102">
        <v>83</v>
      </c>
      <c r="M36" s="102">
        <v>85</v>
      </c>
      <c r="N36" s="99">
        <f>ผลงานรวมทีม!E25</f>
        <v>97.99</v>
      </c>
      <c r="O36" s="281">
        <f t="shared" si="0"/>
        <v>0.5</v>
      </c>
      <c r="Q36" s="105">
        <f t="shared" si="1"/>
        <v>5</v>
      </c>
    </row>
    <row r="37" spans="1:17" ht="21" customHeight="1" x14ac:dyDescent="0.4">
      <c r="A37" s="248" t="s">
        <v>136</v>
      </c>
      <c r="B37" s="249"/>
      <c r="C37" s="99">
        <v>2</v>
      </c>
      <c r="D37" s="106" t="s">
        <v>62</v>
      </c>
      <c r="E37" s="106"/>
      <c r="F37" s="107" t="s">
        <v>71</v>
      </c>
      <c r="G37" s="95">
        <v>0.5</v>
      </c>
      <c r="H37" s="101">
        <v>85</v>
      </c>
      <c r="I37" s="102">
        <v>77</v>
      </c>
      <c r="J37" s="102">
        <v>79</v>
      </c>
      <c r="K37" s="102">
        <v>81</v>
      </c>
      <c r="L37" s="102">
        <v>83</v>
      </c>
      <c r="M37" s="102">
        <v>85</v>
      </c>
      <c r="N37" s="99">
        <f>ผลงานรวมทีม!E26</f>
        <v>86.99</v>
      </c>
      <c r="O37" s="281">
        <f t="shared" si="0"/>
        <v>0.5</v>
      </c>
      <c r="Q37" s="105">
        <f t="shared" si="1"/>
        <v>5</v>
      </c>
    </row>
    <row r="38" spans="1:17" ht="21" customHeight="1" x14ac:dyDescent="0.4">
      <c r="A38" s="248" t="s">
        <v>137</v>
      </c>
      <c r="B38" s="249"/>
      <c r="C38" s="99">
        <v>2</v>
      </c>
      <c r="D38" s="106" t="s">
        <v>62</v>
      </c>
      <c r="E38" s="106"/>
      <c r="F38" s="107" t="s">
        <v>71</v>
      </c>
      <c r="G38" s="95">
        <v>0.5</v>
      </c>
      <c r="H38" s="101">
        <v>85</v>
      </c>
      <c r="I38" s="102">
        <v>77</v>
      </c>
      <c r="J38" s="102">
        <v>79</v>
      </c>
      <c r="K38" s="102">
        <v>81</v>
      </c>
      <c r="L38" s="102">
        <v>83</v>
      </c>
      <c r="M38" s="102">
        <v>85</v>
      </c>
      <c r="N38" s="99">
        <f>ผลงานรวมทีม!E27</f>
        <v>97.53</v>
      </c>
      <c r="O38" s="281">
        <f t="shared" si="0"/>
        <v>0.5</v>
      </c>
      <c r="Q38" s="105">
        <f t="shared" si="1"/>
        <v>5</v>
      </c>
    </row>
    <row r="39" spans="1:17" ht="21" customHeight="1" x14ac:dyDescent="0.4">
      <c r="A39" s="248" t="s">
        <v>138</v>
      </c>
      <c r="B39" s="249"/>
      <c r="C39" s="99">
        <v>2</v>
      </c>
      <c r="D39" s="106" t="s">
        <v>62</v>
      </c>
      <c r="E39" s="106"/>
      <c r="F39" s="107" t="s">
        <v>71</v>
      </c>
      <c r="G39" s="95">
        <v>0.5</v>
      </c>
      <c r="H39" s="101">
        <v>85</v>
      </c>
      <c r="I39" s="102">
        <v>77</v>
      </c>
      <c r="J39" s="102">
        <v>79</v>
      </c>
      <c r="K39" s="102">
        <v>81</v>
      </c>
      <c r="L39" s="102">
        <v>83</v>
      </c>
      <c r="M39" s="102">
        <v>85</v>
      </c>
      <c r="N39" s="99">
        <f>ผลงานรวมทีม!E28</f>
        <v>98.13</v>
      </c>
      <c r="O39" s="281">
        <f t="shared" si="0"/>
        <v>0.5</v>
      </c>
      <c r="Q39" s="105">
        <f t="shared" si="1"/>
        <v>5</v>
      </c>
    </row>
    <row r="40" spans="1:17" ht="21" customHeight="1" x14ac:dyDescent="0.4">
      <c r="A40" s="248" t="s">
        <v>139</v>
      </c>
      <c r="B40" s="249"/>
      <c r="C40" s="99">
        <v>2</v>
      </c>
      <c r="D40" s="106" t="s">
        <v>62</v>
      </c>
      <c r="E40" s="106"/>
      <c r="F40" s="107" t="s">
        <v>71</v>
      </c>
      <c r="G40" s="95">
        <v>0.5</v>
      </c>
      <c r="H40" s="101">
        <v>90</v>
      </c>
      <c r="I40" s="102">
        <v>82</v>
      </c>
      <c r="J40" s="102">
        <v>84</v>
      </c>
      <c r="K40" s="102">
        <v>86</v>
      </c>
      <c r="L40" s="102">
        <v>88</v>
      </c>
      <c r="M40" s="102">
        <v>90</v>
      </c>
      <c r="N40" s="99">
        <f>ผลงานรวมทีม!E29</f>
        <v>93.47</v>
      </c>
      <c r="O40" s="281">
        <f t="shared" si="0"/>
        <v>0.5</v>
      </c>
      <c r="Q40" s="105">
        <f t="shared" si="1"/>
        <v>5</v>
      </c>
    </row>
    <row r="41" spans="1:17" ht="21" customHeight="1" x14ac:dyDescent="0.4">
      <c r="A41" s="248" t="s">
        <v>140</v>
      </c>
      <c r="B41" s="249"/>
      <c r="C41" s="99"/>
      <c r="D41" s="106"/>
      <c r="E41" s="106"/>
      <c r="F41" s="107"/>
      <c r="G41" s="95"/>
      <c r="H41" s="101"/>
      <c r="I41" s="102"/>
      <c r="J41" s="102"/>
      <c r="K41" s="102"/>
      <c r="L41" s="102"/>
      <c r="M41" s="102"/>
      <c r="N41" s="99"/>
      <c r="O41" s="281"/>
      <c r="Q41" s="105">
        <f t="shared" si="1"/>
        <v>0</v>
      </c>
    </row>
    <row r="42" spans="1:17" ht="21" customHeight="1" x14ac:dyDescent="0.4">
      <c r="A42" s="248" t="s">
        <v>141</v>
      </c>
      <c r="B42" s="249"/>
      <c r="C42" s="99">
        <v>2</v>
      </c>
      <c r="D42" s="106"/>
      <c r="E42" s="106" t="s">
        <v>62</v>
      </c>
      <c r="F42" s="107" t="s">
        <v>71</v>
      </c>
      <c r="G42" s="95">
        <v>0.5</v>
      </c>
      <c r="H42" s="101">
        <v>90</v>
      </c>
      <c r="I42" s="102">
        <v>82</v>
      </c>
      <c r="J42" s="102">
        <v>84</v>
      </c>
      <c r="K42" s="102">
        <v>86</v>
      </c>
      <c r="L42" s="102">
        <v>88</v>
      </c>
      <c r="M42" s="102">
        <v>90</v>
      </c>
      <c r="N42" s="99">
        <f>ผลงานรายเขต!E31</f>
        <v>93.04</v>
      </c>
      <c r="O42" s="281">
        <f t="shared" ref="O42:O51" si="2">((Q42/5)*G42)</f>
        <v>0.5</v>
      </c>
      <c r="Q42" s="105">
        <f t="shared" si="1"/>
        <v>5</v>
      </c>
    </row>
    <row r="43" spans="1:17" ht="21" customHeight="1" x14ac:dyDescent="0.4">
      <c r="A43" s="248" t="s">
        <v>142</v>
      </c>
      <c r="B43" s="249"/>
      <c r="C43" s="99">
        <v>2</v>
      </c>
      <c r="D43" s="106"/>
      <c r="E43" s="106" t="s">
        <v>62</v>
      </c>
      <c r="F43" s="107" t="s">
        <v>71</v>
      </c>
      <c r="G43" s="95">
        <v>0.5</v>
      </c>
      <c r="H43" s="101">
        <v>90</v>
      </c>
      <c r="I43" s="102">
        <v>82</v>
      </c>
      <c r="J43" s="102">
        <v>84</v>
      </c>
      <c r="K43" s="102">
        <v>86</v>
      </c>
      <c r="L43" s="102">
        <v>88</v>
      </c>
      <c r="M43" s="102">
        <v>90</v>
      </c>
      <c r="N43" s="99">
        <f>ผลงานรายเขต!E32</f>
        <v>93.22</v>
      </c>
      <c r="O43" s="281">
        <f t="shared" si="2"/>
        <v>0.5</v>
      </c>
      <c r="Q43" s="105">
        <f t="shared" si="1"/>
        <v>5</v>
      </c>
    </row>
    <row r="44" spans="1:17" ht="21" customHeight="1" x14ac:dyDescent="0.4">
      <c r="A44" s="248" t="s">
        <v>143</v>
      </c>
      <c r="B44" s="249"/>
      <c r="C44" s="99">
        <v>2</v>
      </c>
      <c r="D44" s="106"/>
      <c r="E44" s="106" t="s">
        <v>62</v>
      </c>
      <c r="F44" s="107" t="s">
        <v>71</v>
      </c>
      <c r="G44" s="95">
        <v>0.5</v>
      </c>
      <c r="H44" s="101">
        <v>90</v>
      </c>
      <c r="I44" s="102">
        <v>82</v>
      </c>
      <c r="J44" s="102">
        <v>84</v>
      </c>
      <c r="K44" s="102">
        <v>86</v>
      </c>
      <c r="L44" s="102">
        <v>88</v>
      </c>
      <c r="M44" s="102">
        <v>90</v>
      </c>
      <c r="N44" s="99">
        <f>ผลงานรายเขต!E33</f>
        <v>83.1</v>
      </c>
      <c r="O44" s="281">
        <f t="shared" si="2"/>
        <v>0.15499999999999972</v>
      </c>
      <c r="Q44" s="105">
        <f t="shared" si="1"/>
        <v>1.5499999999999972</v>
      </c>
    </row>
    <row r="45" spans="1:17" ht="21" customHeight="1" x14ac:dyDescent="0.4">
      <c r="A45" s="248" t="s">
        <v>144</v>
      </c>
      <c r="B45" s="249"/>
      <c r="C45" s="99">
        <v>2</v>
      </c>
      <c r="D45" s="106"/>
      <c r="E45" s="106" t="s">
        <v>62</v>
      </c>
      <c r="F45" s="107" t="s">
        <v>71</v>
      </c>
      <c r="G45" s="95">
        <v>0.5</v>
      </c>
      <c r="H45" s="101">
        <v>90</v>
      </c>
      <c r="I45" s="102">
        <v>82</v>
      </c>
      <c r="J45" s="102">
        <v>84</v>
      </c>
      <c r="K45" s="102">
        <v>86</v>
      </c>
      <c r="L45" s="102">
        <v>88</v>
      </c>
      <c r="M45" s="102">
        <v>90</v>
      </c>
      <c r="N45" s="99">
        <f>ผลงานรายเขต!E34</f>
        <v>100</v>
      </c>
      <c r="O45" s="281">
        <f t="shared" si="2"/>
        <v>0.5</v>
      </c>
      <c r="Q45" s="105">
        <f t="shared" si="1"/>
        <v>5</v>
      </c>
    </row>
    <row r="46" spans="1:17" ht="21" customHeight="1" x14ac:dyDescent="0.4">
      <c r="A46" s="248" t="s">
        <v>145</v>
      </c>
      <c r="B46" s="249"/>
      <c r="C46" s="99">
        <v>2</v>
      </c>
      <c r="D46" s="106"/>
      <c r="E46" s="106" t="s">
        <v>62</v>
      </c>
      <c r="F46" s="107" t="s">
        <v>71</v>
      </c>
      <c r="G46" s="95">
        <v>0.5</v>
      </c>
      <c r="H46" s="101">
        <v>90</v>
      </c>
      <c r="I46" s="102">
        <v>82</v>
      </c>
      <c r="J46" s="102">
        <v>84</v>
      </c>
      <c r="K46" s="102">
        <v>86</v>
      </c>
      <c r="L46" s="102">
        <v>88</v>
      </c>
      <c r="M46" s="102">
        <v>90</v>
      </c>
      <c r="N46" s="99">
        <f>ผลงานรายเขต!E35</f>
        <v>100</v>
      </c>
      <c r="O46" s="281">
        <f t="shared" si="2"/>
        <v>0.5</v>
      </c>
      <c r="Q46" s="105">
        <f t="shared" si="1"/>
        <v>5</v>
      </c>
    </row>
    <row r="47" spans="1:17" ht="21" customHeight="1" x14ac:dyDescent="0.4">
      <c r="A47" s="248" t="s">
        <v>146</v>
      </c>
      <c r="B47" s="249"/>
      <c r="C47" s="99">
        <v>2</v>
      </c>
      <c r="D47" s="106"/>
      <c r="E47" s="106" t="s">
        <v>62</v>
      </c>
      <c r="F47" s="107" t="s">
        <v>71</v>
      </c>
      <c r="G47" s="95">
        <v>0.5</v>
      </c>
      <c r="H47" s="101">
        <v>90</v>
      </c>
      <c r="I47" s="102">
        <v>82</v>
      </c>
      <c r="J47" s="102">
        <v>84</v>
      </c>
      <c r="K47" s="102">
        <v>86</v>
      </c>
      <c r="L47" s="102">
        <v>88</v>
      </c>
      <c r="M47" s="102">
        <v>90</v>
      </c>
      <c r="N47" s="99">
        <f>ผลงานรายเขต!E36</f>
        <v>100</v>
      </c>
      <c r="O47" s="281">
        <f t="shared" si="2"/>
        <v>0.5</v>
      </c>
      <c r="Q47" s="105">
        <f t="shared" si="1"/>
        <v>5</v>
      </c>
    </row>
    <row r="48" spans="1:17" ht="21" customHeight="1" x14ac:dyDescent="0.4">
      <c r="A48" s="248" t="s">
        <v>147</v>
      </c>
      <c r="B48" s="249"/>
      <c r="C48" s="99">
        <v>2</v>
      </c>
      <c r="D48" s="106"/>
      <c r="E48" s="106" t="s">
        <v>62</v>
      </c>
      <c r="F48" s="107" t="s">
        <v>71</v>
      </c>
      <c r="G48" s="95">
        <v>0.5</v>
      </c>
      <c r="H48" s="101">
        <v>90</v>
      </c>
      <c r="I48" s="102">
        <v>82</v>
      </c>
      <c r="J48" s="102">
        <v>84</v>
      </c>
      <c r="K48" s="102">
        <v>86</v>
      </c>
      <c r="L48" s="102">
        <v>88</v>
      </c>
      <c r="M48" s="102">
        <v>90</v>
      </c>
      <c r="N48" s="99">
        <f>ผลงานรายเขต!E37</f>
        <v>100</v>
      </c>
      <c r="O48" s="281">
        <f t="shared" si="2"/>
        <v>0.5</v>
      </c>
      <c r="Q48" s="105">
        <f t="shared" si="1"/>
        <v>5</v>
      </c>
    </row>
    <row r="49" spans="1:17" ht="21" customHeight="1" x14ac:dyDescent="0.4">
      <c r="A49" s="248" t="s">
        <v>148</v>
      </c>
      <c r="B49" s="249"/>
      <c r="C49" s="99">
        <v>2</v>
      </c>
      <c r="D49" s="106"/>
      <c r="E49" s="106" t="s">
        <v>62</v>
      </c>
      <c r="F49" s="107" t="s">
        <v>71</v>
      </c>
      <c r="G49" s="95">
        <v>0.5</v>
      </c>
      <c r="H49" s="101">
        <v>90</v>
      </c>
      <c r="I49" s="102">
        <v>82</v>
      </c>
      <c r="J49" s="102">
        <v>84</v>
      </c>
      <c r="K49" s="102">
        <v>86</v>
      </c>
      <c r="L49" s="102">
        <v>88</v>
      </c>
      <c r="M49" s="102">
        <v>90</v>
      </c>
      <c r="N49" s="99">
        <f>ผลงานรายเขต!E38</f>
        <v>100</v>
      </c>
      <c r="O49" s="281">
        <f t="shared" si="2"/>
        <v>0.5</v>
      </c>
      <c r="Q49" s="105">
        <f t="shared" si="1"/>
        <v>5</v>
      </c>
    </row>
    <row r="50" spans="1:17" ht="21" customHeight="1" x14ac:dyDescent="0.4">
      <c r="A50" s="248" t="s">
        <v>149</v>
      </c>
      <c r="B50" s="249"/>
      <c r="C50" s="99">
        <v>2</v>
      </c>
      <c r="D50" s="106"/>
      <c r="E50" s="106" t="s">
        <v>62</v>
      </c>
      <c r="F50" s="107" t="s">
        <v>71</v>
      </c>
      <c r="G50" s="95">
        <v>0.5</v>
      </c>
      <c r="H50" s="101">
        <v>90</v>
      </c>
      <c r="I50" s="102">
        <v>82</v>
      </c>
      <c r="J50" s="102">
        <v>84</v>
      </c>
      <c r="K50" s="102">
        <v>86</v>
      </c>
      <c r="L50" s="102">
        <v>88</v>
      </c>
      <c r="M50" s="102">
        <v>90</v>
      </c>
      <c r="N50" s="99">
        <f>ผลงานรายเขต!E39</f>
        <v>100</v>
      </c>
      <c r="O50" s="281">
        <f t="shared" si="2"/>
        <v>0.5</v>
      </c>
      <c r="Q50" s="105">
        <f t="shared" si="1"/>
        <v>5</v>
      </c>
    </row>
    <row r="51" spans="1:17" ht="21" customHeight="1" x14ac:dyDescent="0.4">
      <c r="A51" s="248" t="s">
        <v>150</v>
      </c>
      <c r="B51" s="249"/>
      <c r="C51" s="99">
        <v>2</v>
      </c>
      <c r="D51" s="106"/>
      <c r="E51" s="106" t="s">
        <v>62</v>
      </c>
      <c r="F51" s="107" t="s">
        <v>71</v>
      </c>
      <c r="G51" s="95">
        <v>0.5</v>
      </c>
      <c r="H51" s="101">
        <v>90</v>
      </c>
      <c r="I51" s="102">
        <v>82</v>
      </c>
      <c r="J51" s="102">
        <v>84</v>
      </c>
      <c r="K51" s="102">
        <v>86</v>
      </c>
      <c r="L51" s="102">
        <v>88</v>
      </c>
      <c r="M51" s="102">
        <v>90</v>
      </c>
      <c r="N51" s="99">
        <f>ผลงานรายเขต!E40</f>
        <v>100</v>
      </c>
      <c r="O51" s="281">
        <f t="shared" si="2"/>
        <v>0.5</v>
      </c>
      <c r="Q51" s="105">
        <f t="shared" si="1"/>
        <v>5</v>
      </c>
    </row>
    <row r="52" spans="1:17" ht="21" customHeight="1" x14ac:dyDescent="0.4">
      <c r="A52" s="248" t="s">
        <v>151</v>
      </c>
      <c r="B52" s="249"/>
      <c r="C52" s="99"/>
      <c r="D52" s="106"/>
      <c r="E52" s="106"/>
      <c r="F52" s="107"/>
      <c r="G52" s="95"/>
      <c r="H52" s="101"/>
      <c r="I52" s="102"/>
      <c r="J52" s="102"/>
      <c r="K52" s="102"/>
      <c r="L52" s="102"/>
      <c r="M52" s="102"/>
      <c r="N52" s="99"/>
      <c r="O52" s="281"/>
      <c r="Q52" s="105">
        <f t="shared" si="1"/>
        <v>0</v>
      </c>
    </row>
    <row r="53" spans="1:17" ht="21" customHeight="1" x14ac:dyDescent="0.4">
      <c r="A53" s="248" t="s">
        <v>152</v>
      </c>
      <c r="B53" s="249"/>
      <c r="C53" s="99">
        <v>2</v>
      </c>
      <c r="D53" s="106"/>
      <c r="E53" s="106" t="s">
        <v>62</v>
      </c>
      <c r="F53" s="107" t="s">
        <v>71</v>
      </c>
      <c r="G53" s="95">
        <v>0.5</v>
      </c>
      <c r="H53" s="101">
        <v>98.5</v>
      </c>
      <c r="I53" s="102">
        <v>94.5</v>
      </c>
      <c r="J53" s="102">
        <v>95.5</v>
      </c>
      <c r="K53" s="102">
        <v>96.5</v>
      </c>
      <c r="L53" s="102">
        <v>97.5</v>
      </c>
      <c r="M53" s="102">
        <v>98.5</v>
      </c>
      <c r="N53" s="99">
        <f>ผลงานรายเขต!E42</f>
        <v>100</v>
      </c>
      <c r="O53" s="281">
        <f t="shared" si="0"/>
        <v>0.5</v>
      </c>
      <c r="Q53" s="105">
        <f t="shared" si="1"/>
        <v>5</v>
      </c>
    </row>
    <row r="54" spans="1:17" ht="21" customHeight="1" x14ac:dyDescent="0.4">
      <c r="A54" s="248" t="s">
        <v>153</v>
      </c>
      <c r="B54" s="249"/>
      <c r="C54" s="99">
        <v>2</v>
      </c>
      <c r="D54" s="106"/>
      <c r="E54" s="106" t="s">
        <v>62</v>
      </c>
      <c r="F54" s="107" t="s">
        <v>71</v>
      </c>
      <c r="G54" s="95">
        <v>0.5</v>
      </c>
      <c r="H54" s="101">
        <v>98.5</v>
      </c>
      <c r="I54" s="102">
        <v>94.5</v>
      </c>
      <c r="J54" s="102">
        <v>95.5</v>
      </c>
      <c r="K54" s="102">
        <v>96.5</v>
      </c>
      <c r="L54" s="102">
        <v>97.5</v>
      </c>
      <c r="M54" s="102">
        <v>98.5</v>
      </c>
      <c r="N54" s="99">
        <f>ผลงานรายเขต!E43</f>
        <v>100</v>
      </c>
      <c r="O54" s="281">
        <f t="shared" si="0"/>
        <v>0.5</v>
      </c>
      <c r="Q54" s="105">
        <f t="shared" si="1"/>
        <v>5</v>
      </c>
    </row>
    <row r="55" spans="1:17" ht="21" customHeight="1" x14ac:dyDescent="0.4">
      <c r="A55" s="248" t="s">
        <v>154</v>
      </c>
      <c r="B55" s="249"/>
      <c r="C55" s="99">
        <v>2</v>
      </c>
      <c r="D55" s="106"/>
      <c r="E55" s="106" t="s">
        <v>62</v>
      </c>
      <c r="F55" s="107" t="s">
        <v>71</v>
      </c>
      <c r="G55" s="95">
        <v>0.5</v>
      </c>
      <c r="H55" s="101">
        <v>98.5</v>
      </c>
      <c r="I55" s="102">
        <v>94.5</v>
      </c>
      <c r="J55" s="102">
        <v>95.5</v>
      </c>
      <c r="K55" s="102">
        <v>96.5</v>
      </c>
      <c r="L55" s="102">
        <v>97.5</v>
      </c>
      <c r="M55" s="102">
        <v>98.5</v>
      </c>
      <c r="N55" s="99">
        <f>ผลงานรายเขต!E44</f>
        <v>99.04</v>
      </c>
      <c r="O55" s="281">
        <f t="shared" si="0"/>
        <v>0.5</v>
      </c>
      <c r="Q55" s="105">
        <f t="shared" si="1"/>
        <v>5</v>
      </c>
    </row>
    <row r="56" spans="1:17" ht="21" customHeight="1" x14ac:dyDescent="0.4">
      <c r="A56" s="248" t="s">
        <v>155</v>
      </c>
      <c r="B56" s="249"/>
      <c r="C56" s="99">
        <v>2</v>
      </c>
      <c r="D56" s="106"/>
      <c r="E56" s="106" t="s">
        <v>62</v>
      </c>
      <c r="F56" s="107" t="s">
        <v>71</v>
      </c>
      <c r="G56" s="95">
        <v>0.5</v>
      </c>
      <c r="H56" s="101">
        <v>98.5</v>
      </c>
      <c r="I56" s="102">
        <v>94.5</v>
      </c>
      <c r="J56" s="102">
        <v>95.5</v>
      </c>
      <c r="K56" s="102">
        <v>96.5</v>
      </c>
      <c r="L56" s="102">
        <v>97.5</v>
      </c>
      <c r="M56" s="102">
        <v>98.5</v>
      </c>
      <c r="N56" s="99">
        <f>ผลงานรายเขต!E45</f>
        <v>100</v>
      </c>
      <c r="O56" s="281">
        <f t="shared" si="0"/>
        <v>0.5</v>
      </c>
      <c r="Q56" s="105">
        <f t="shared" si="1"/>
        <v>5</v>
      </c>
    </row>
    <row r="57" spans="1:17" ht="21" customHeight="1" x14ac:dyDescent="0.4">
      <c r="A57" s="248" t="s">
        <v>156</v>
      </c>
      <c r="B57" s="249"/>
      <c r="C57" s="99">
        <v>2</v>
      </c>
      <c r="D57" s="106"/>
      <c r="E57" s="106" t="s">
        <v>62</v>
      </c>
      <c r="F57" s="107" t="s">
        <v>71</v>
      </c>
      <c r="G57" s="95">
        <v>0.5</v>
      </c>
      <c r="H57" s="101">
        <v>98.5</v>
      </c>
      <c r="I57" s="102">
        <v>94.5</v>
      </c>
      <c r="J57" s="102">
        <v>95.5</v>
      </c>
      <c r="K57" s="102">
        <v>96.5</v>
      </c>
      <c r="L57" s="102">
        <v>97.5</v>
      </c>
      <c r="M57" s="102">
        <v>98.5</v>
      </c>
      <c r="N57" s="99">
        <f>ผลงานรายเขต!E46</f>
        <v>100</v>
      </c>
      <c r="O57" s="281">
        <f t="shared" si="0"/>
        <v>0.5</v>
      </c>
      <c r="Q57" s="105">
        <f t="shared" si="1"/>
        <v>5</v>
      </c>
    </row>
    <row r="58" spans="1:17" ht="21" customHeight="1" x14ac:dyDescent="0.4">
      <c r="A58" s="248" t="s">
        <v>157</v>
      </c>
      <c r="B58" s="249"/>
      <c r="C58" s="99">
        <v>2</v>
      </c>
      <c r="D58" s="106"/>
      <c r="E58" s="106" t="s">
        <v>62</v>
      </c>
      <c r="F58" s="107" t="s">
        <v>71</v>
      </c>
      <c r="G58" s="95">
        <v>0.5</v>
      </c>
      <c r="H58" s="101">
        <v>98.5</v>
      </c>
      <c r="I58" s="102">
        <v>94.5</v>
      </c>
      <c r="J58" s="102">
        <v>95.5</v>
      </c>
      <c r="K58" s="102">
        <v>96.5</v>
      </c>
      <c r="L58" s="102">
        <v>97.5</v>
      </c>
      <c r="M58" s="102">
        <v>98.5</v>
      </c>
      <c r="N58" s="99">
        <f>ผลงานรายเขต!E47</f>
        <v>98.75</v>
      </c>
      <c r="O58" s="281">
        <f t="shared" si="0"/>
        <v>0.5</v>
      </c>
      <c r="Q58" s="105">
        <f t="shared" si="1"/>
        <v>5</v>
      </c>
    </row>
    <row r="59" spans="1:17" ht="21" customHeight="1" x14ac:dyDescent="0.4">
      <c r="A59" s="248" t="s">
        <v>158</v>
      </c>
      <c r="B59" s="249"/>
      <c r="C59" s="99">
        <v>2</v>
      </c>
      <c r="D59" s="106"/>
      <c r="E59" s="106" t="s">
        <v>62</v>
      </c>
      <c r="F59" s="107" t="s">
        <v>71</v>
      </c>
      <c r="G59" s="95">
        <v>0.5</v>
      </c>
      <c r="H59" s="101">
        <v>98.5</v>
      </c>
      <c r="I59" s="102">
        <v>94.5</v>
      </c>
      <c r="J59" s="102">
        <v>95.5</v>
      </c>
      <c r="K59" s="102">
        <v>96.5</v>
      </c>
      <c r="L59" s="102">
        <v>97.5</v>
      </c>
      <c r="M59" s="102">
        <v>98.5</v>
      </c>
      <c r="N59" s="99">
        <f>ผลงานรายเขต!E48</f>
        <v>100</v>
      </c>
      <c r="O59" s="281">
        <f t="shared" si="0"/>
        <v>0.5</v>
      </c>
      <c r="Q59" s="105">
        <f t="shared" si="1"/>
        <v>5</v>
      </c>
    </row>
    <row r="60" spans="1:17" ht="21" customHeight="1" x14ac:dyDescent="0.4">
      <c r="A60" s="248" t="s">
        <v>159</v>
      </c>
      <c r="B60" s="249"/>
      <c r="C60" s="99">
        <v>2</v>
      </c>
      <c r="D60" s="106"/>
      <c r="E60" s="106" t="s">
        <v>62</v>
      </c>
      <c r="F60" s="107" t="s">
        <v>71</v>
      </c>
      <c r="G60" s="95">
        <v>0.5</v>
      </c>
      <c r="H60" s="101">
        <v>98.5</v>
      </c>
      <c r="I60" s="102">
        <v>94.5</v>
      </c>
      <c r="J60" s="102">
        <v>95.5</v>
      </c>
      <c r="K60" s="102">
        <v>96.5</v>
      </c>
      <c r="L60" s="102">
        <v>97.5</v>
      </c>
      <c r="M60" s="102">
        <v>98.5</v>
      </c>
      <c r="N60" s="99">
        <f>ผลงานรายเขต!E49</f>
        <v>100</v>
      </c>
      <c r="O60" s="281">
        <f t="shared" si="0"/>
        <v>0.5</v>
      </c>
      <c r="Q60" s="105">
        <f t="shared" si="1"/>
        <v>5</v>
      </c>
    </row>
    <row r="61" spans="1:17" ht="21" customHeight="1" x14ac:dyDescent="0.4">
      <c r="A61" s="248" t="s">
        <v>160</v>
      </c>
      <c r="B61" s="249"/>
      <c r="C61" s="99">
        <v>2</v>
      </c>
      <c r="D61" s="106"/>
      <c r="E61" s="106" t="s">
        <v>62</v>
      </c>
      <c r="F61" s="107" t="s">
        <v>71</v>
      </c>
      <c r="G61" s="95">
        <v>0.5</v>
      </c>
      <c r="H61" s="101">
        <v>98.5</v>
      </c>
      <c r="I61" s="102">
        <v>94.5</v>
      </c>
      <c r="J61" s="102">
        <v>95.5</v>
      </c>
      <c r="K61" s="102">
        <v>96.5</v>
      </c>
      <c r="L61" s="102">
        <v>97.5</v>
      </c>
      <c r="M61" s="102">
        <v>98.5</v>
      </c>
      <c r="N61" s="99">
        <f>ผลงานรายเขต!E50</f>
        <v>100</v>
      </c>
      <c r="O61" s="281">
        <f t="shared" si="0"/>
        <v>0.5</v>
      </c>
      <c r="Q61" s="105">
        <f t="shared" si="1"/>
        <v>5</v>
      </c>
    </row>
    <row r="62" spans="1:17" ht="21" customHeight="1" x14ac:dyDescent="0.4">
      <c r="A62" s="248" t="s">
        <v>161</v>
      </c>
      <c r="B62" s="249"/>
      <c r="C62" s="99">
        <v>2</v>
      </c>
      <c r="D62" s="106"/>
      <c r="E62" s="106" t="s">
        <v>62</v>
      </c>
      <c r="F62" s="107" t="s">
        <v>71</v>
      </c>
      <c r="G62" s="95">
        <v>0.5</v>
      </c>
      <c r="H62" s="101">
        <v>98.5</v>
      </c>
      <c r="I62" s="102">
        <v>94.5</v>
      </c>
      <c r="J62" s="102">
        <v>95.5</v>
      </c>
      <c r="K62" s="102">
        <v>96.5</v>
      </c>
      <c r="L62" s="102">
        <v>97.5</v>
      </c>
      <c r="M62" s="102">
        <v>98.5</v>
      </c>
      <c r="N62" s="99">
        <f>ผลงานรายเขต!E51</f>
        <v>100</v>
      </c>
      <c r="O62" s="281">
        <f t="shared" si="0"/>
        <v>0.5</v>
      </c>
      <c r="Q62" s="105">
        <f t="shared" si="1"/>
        <v>5</v>
      </c>
    </row>
    <row r="63" spans="1:17" ht="21" customHeight="1" x14ac:dyDescent="0.4">
      <c r="A63" s="248" t="s">
        <v>162</v>
      </c>
      <c r="B63" s="249"/>
      <c r="C63" s="99">
        <v>2</v>
      </c>
      <c r="D63" s="106"/>
      <c r="E63" s="106" t="s">
        <v>62</v>
      </c>
      <c r="F63" s="107" t="s">
        <v>71</v>
      </c>
      <c r="G63" s="95">
        <v>0.5</v>
      </c>
      <c r="H63" s="101">
        <v>98.5</v>
      </c>
      <c r="I63" s="102">
        <v>94.5</v>
      </c>
      <c r="J63" s="102">
        <v>95.5</v>
      </c>
      <c r="K63" s="102">
        <v>96.5</v>
      </c>
      <c r="L63" s="102">
        <v>97.5</v>
      </c>
      <c r="M63" s="102">
        <v>98.5</v>
      </c>
      <c r="N63" s="99">
        <f>ผลงานรายเขต!E52</f>
        <v>100</v>
      </c>
      <c r="O63" s="281">
        <f t="shared" si="0"/>
        <v>0.5</v>
      </c>
      <c r="Q63" s="105">
        <f t="shared" si="1"/>
        <v>5</v>
      </c>
    </row>
    <row r="64" spans="1:17" ht="21" customHeight="1" x14ac:dyDescent="0.4">
      <c r="A64" s="248" t="s">
        <v>163</v>
      </c>
      <c r="B64" s="249"/>
      <c r="C64" s="99">
        <v>2</v>
      </c>
      <c r="D64" s="106"/>
      <c r="E64" s="106" t="s">
        <v>62</v>
      </c>
      <c r="F64" s="107" t="s">
        <v>71</v>
      </c>
      <c r="G64" s="95">
        <v>0.5</v>
      </c>
      <c r="H64" s="101">
        <v>98.5</v>
      </c>
      <c r="I64" s="102">
        <v>94.5</v>
      </c>
      <c r="J64" s="102">
        <v>95.5</v>
      </c>
      <c r="K64" s="102">
        <v>96.5</v>
      </c>
      <c r="L64" s="102">
        <v>97.5</v>
      </c>
      <c r="M64" s="102">
        <v>98.5</v>
      </c>
      <c r="N64" s="99">
        <f>ผลงานรายเขต!E53</f>
        <v>100</v>
      </c>
      <c r="O64" s="281">
        <f t="shared" si="0"/>
        <v>0.5</v>
      </c>
      <c r="Q64" s="105">
        <f t="shared" si="1"/>
        <v>5</v>
      </c>
    </row>
    <row r="65" spans="1:17" ht="21" customHeight="1" x14ac:dyDescent="0.4">
      <c r="A65" s="248" t="s">
        <v>164</v>
      </c>
      <c r="B65" s="249"/>
      <c r="C65" s="99">
        <v>2</v>
      </c>
      <c r="D65" s="106"/>
      <c r="E65" s="106" t="s">
        <v>62</v>
      </c>
      <c r="F65" s="107" t="s">
        <v>71</v>
      </c>
      <c r="G65" s="107">
        <v>3</v>
      </c>
      <c r="H65" s="101">
        <v>65</v>
      </c>
      <c r="I65" s="102">
        <v>45</v>
      </c>
      <c r="J65" s="102">
        <v>50</v>
      </c>
      <c r="K65" s="102">
        <v>55</v>
      </c>
      <c r="L65" s="102">
        <v>60</v>
      </c>
      <c r="M65" s="102">
        <v>65</v>
      </c>
      <c r="N65" s="99">
        <f>ผลงานรายเขต!E61</f>
        <v>61.05</v>
      </c>
      <c r="O65" s="281">
        <f t="shared" si="0"/>
        <v>2.5259999999999998</v>
      </c>
      <c r="Q65" s="105">
        <f t="shared" si="1"/>
        <v>4.2099999999999991</v>
      </c>
    </row>
    <row r="66" spans="1:17" ht="21" customHeight="1" x14ac:dyDescent="0.4">
      <c r="A66" s="248" t="s">
        <v>165</v>
      </c>
      <c r="B66" s="249"/>
      <c r="C66" s="99">
        <v>2</v>
      </c>
      <c r="D66" s="106"/>
      <c r="E66" s="106" t="s">
        <v>62</v>
      </c>
      <c r="F66" s="107" t="s">
        <v>59</v>
      </c>
      <c r="G66" s="107">
        <v>4</v>
      </c>
      <c r="H66" s="101">
        <v>7.02</v>
      </c>
      <c r="I66" s="102">
        <v>5.9</v>
      </c>
      <c r="J66" s="102">
        <v>6.18</v>
      </c>
      <c r="K66" s="102">
        <v>6.46</v>
      </c>
      <c r="L66" s="102">
        <v>6.74</v>
      </c>
      <c r="M66" s="102">
        <v>7.02</v>
      </c>
      <c r="N66" s="99">
        <f>ผลงานรายเขต!E55</f>
        <v>6.78</v>
      </c>
      <c r="O66" s="281">
        <f t="shared" si="0"/>
        <v>3.3142857142857145</v>
      </c>
      <c r="Q66" s="105">
        <f t="shared" si="1"/>
        <v>4.1428571428571432</v>
      </c>
    </row>
    <row r="67" spans="1:17" ht="21" customHeight="1" x14ac:dyDescent="0.4">
      <c r="A67" s="248" t="s">
        <v>166</v>
      </c>
      <c r="B67" s="249"/>
      <c r="C67" s="99">
        <v>2</v>
      </c>
      <c r="D67" s="106"/>
      <c r="E67" s="106" t="s">
        <v>62</v>
      </c>
      <c r="F67" s="107" t="s">
        <v>71</v>
      </c>
      <c r="G67" s="107">
        <v>4</v>
      </c>
      <c r="H67" s="101">
        <v>80</v>
      </c>
      <c r="I67" s="102">
        <v>68</v>
      </c>
      <c r="J67" s="102">
        <v>71</v>
      </c>
      <c r="K67" s="102">
        <v>74</v>
      </c>
      <c r="L67" s="102">
        <v>77</v>
      </c>
      <c r="M67" s="102">
        <v>80</v>
      </c>
      <c r="N67" s="99">
        <f>ผลงานรายเขต!E54</f>
        <v>99.08</v>
      </c>
      <c r="O67" s="281">
        <f t="shared" si="0"/>
        <v>4</v>
      </c>
      <c r="Q67" s="105">
        <f t="shared" si="1"/>
        <v>5</v>
      </c>
    </row>
    <row r="68" spans="1:17" ht="21" customHeight="1" x14ac:dyDescent="0.4">
      <c r="A68" s="248" t="s">
        <v>167</v>
      </c>
      <c r="B68" s="249"/>
      <c r="C68" s="99">
        <v>2</v>
      </c>
      <c r="D68" s="106" t="s">
        <v>62</v>
      </c>
      <c r="E68" s="106"/>
      <c r="F68" s="107" t="s">
        <v>59</v>
      </c>
      <c r="G68" s="107">
        <v>4</v>
      </c>
      <c r="H68" s="101">
        <v>20.95</v>
      </c>
      <c r="I68" s="102">
        <v>23.46</v>
      </c>
      <c r="J68" s="102">
        <v>22.65</v>
      </c>
      <c r="K68" s="102">
        <v>22</v>
      </c>
      <c r="L68" s="102">
        <v>21.35</v>
      </c>
      <c r="M68" s="102">
        <v>20.95</v>
      </c>
      <c r="N68" s="99">
        <f>ผลงานรวมทีม!E56</f>
        <v>10.43</v>
      </c>
      <c r="O68" s="281">
        <f t="shared" si="0"/>
        <v>4</v>
      </c>
      <c r="Q68" s="105">
        <f>IF(N68&lt;=M68,5,IF(N68&lt;=L68,5-ABS(N68-M68)/(L68-M68),IF(N68&lt;=K68,4-ABS(N68-L68)/(K68-L68),IF(N68&lt;=J68,3-ABS(N68-K68)/(J68-K68),IF(N68&lt;=I68,2-ABS(N68-J68)/(I68-J68),1)))))</f>
        <v>5</v>
      </c>
    </row>
    <row r="69" spans="1:17" ht="21" customHeight="1" x14ac:dyDescent="0.4">
      <c r="A69" s="248"/>
      <c r="B69" s="249"/>
      <c r="C69" s="99"/>
      <c r="D69" s="106"/>
      <c r="E69" s="106"/>
      <c r="F69" s="110"/>
      <c r="G69" s="95"/>
      <c r="H69" s="99"/>
      <c r="I69" s="99"/>
      <c r="J69" s="99"/>
      <c r="K69" s="99"/>
      <c r="L69" s="99"/>
      <c r="M69" s="99"/>
      <c r="N69" s="99"/>
      <c r="O69" s="281"/>
      <c r="Q69" s="105">
        <f t="shared" si="1"/>
        <v>0</v>
      </c>
    </row>
    <row r="70" spans="1:17" x14ac:dyDescent="0.4">
      <c r="A70" s="245" t="s">
        <v>95</v>
      </c>
      <c r="B70" s="246"/>
      <c r="C70" s="246"/>
      <c r="D70" s="246"/>
      <c r="E70" s="246"/>
      <c r="F70" s="247"/>
      <c r="G70" s="95" t="s">
        <v>56</v>
      </c>
      <c r="H70" s="98"/>
      <c r="I70" s="98"/>
      <c r="J70" s="98"/>
      <c r="K70" s="98"/>
      <c r="L70" s="98"/>
      <c r="M70" s="98"/>
      <c r="N70" s="99"/>
      <c r="O70" s="281"/>
      <c r="Q70" s="105">
        <f t="shared" si="1"/>
        <v>0</v>
      </c>
    </row>
    <row r="71" spans="1:17" ht="21" customHeight="1" x14ac:dyDescent="0.4">
      <c r="A71" s="248" t="s">
        <v>96</v>
      </c>
      <c r="B71" s="249"/>
      <c r="C71" s="99"/>
      <c r="D71" s="100" t="s">
        <v>58</v>
      </c>
      <c r="E71" s="100"/>
      <c r="F71" s="107" t="s">
        <v>97</v>
      </c>
      <c r="G71" s="95">
        <v>1</v>
      </c>
      <c r="H71" s="101">
        <v>9</v>
      </c>
      <c r="I71" s="102">
        <v>5</v>
      </c>
      <c r="J71" s="102">
        <v>6</v>
      </c>
      <c r="K71" s="102">
        <v>7</v>
      </c>
      <c r="L71" s="102">
        <v>8</v>
      </c>
      <c r="M71" s="102">
        <v>9</v>
      </c>
      <c r="N71" s="99">
        <v>9</v>
      </c>
      <c r="O71" s="281">
        <f t="shared" si="0"/>
        <v>1</v>
      </c>
      <c r="Q71" s="105">
        <f t="shared" si="1"/>
        <v>5</v>
      </c>
    </row>
    <row r="72" spans="1:17" ht="21" customHeight="1" x14ac:dyDescent="0.4">
      <c r="A72" s="248" t="s">
        <v>98</v>
      </c>
      <c r="B72" s="249"/>
      <c r="C72" s="99"/>
      <c r="D72" s="111"/>
      <c r="E72" s="100" t="s">
        <v>58</v>
      </c>
      <c r="F72" s="112" t="s">
        <v>97</v>
      </c>
      <c r="G72" s="113">
        <v>4</v>
      </c>
      <c r="H72" s="114">
        <v>0</v>
      </c>
      <c r="I72" s="115">
        <v>4</v>
      </c>
      <c r="J72" s="115">
        <v>3</v>
      </c>
      <c r="K72" s="115">
        <v>2</v>
      </c>
      <c r="L72" s="115">
        <v>1</v>
      </c>
      <c r="M72" s="115">
        <v>0</v>
      </c>
      <c r="N72" s="99">
        <v>0</v>
      </c>
      <c r="O72" s="281">
        <f t="shared" si="0"/>
        <v>4</v>
      </c>
      <c r="Q72" s="138">
        <f>IF(N72&lt;=M72,5,IF(N72&lt;=L72,5-ABS(N72-M72)/(L72-M72),IF(N72&lt;=K72,4-ABS(N72-L72)/(K72-L72),IF(N72&lt;=J72,3-ABS(N72-K72)/(J72-K72),IF(N72&lt;=I72,2-ABS(N72-J72)/(I72-J72),1)))))</f>
        <v>5</v>
      </c>
    </row>
    <row r="73" spans="1:17" ht="27" customHeight="1" x14ac:dyDescent="0.4">
      <c r="A73" s="265" t="s">
        <v>99</v>
      </c>
      <c r="B73" s="266"/>
      <c r="C73" s="99">
        <v>5</v>
      </c>
      <c r="D73" s="100"/>
      <c r="E73" s="100" t="s">
        <v>58</v>
      </c>
      <c r="F73" s="107" t="s">
        <v>71</v>
      </c>
      <c r="G73" s="116">
        <v>10</v>
      </c>
      <c r="H73" s="116">
        <v>100</v>
      </c>
      <c r="I73" s="117">
        <v>96</v>
      </c>
      <c r="J73" s="117">
        <v>97</v>
      </c>
      <c r="K73" s="117">
        <v>98</v>
      </c>
      <c r="L73" s="117">
        <v>99</v>
      </c>
      <c r="M73" s="117">
        <v>100</v>
      </c>
      <c r="N73" s="100">
        <v>100</v>
      </c>
      <c r="O73" s="281">
        <f t="shared" si="0"/>
        <v>10</v>
      </c>
      <c r="Q73" s="138">
        <f>IF(N73=0,0,IF(N73&gt;=M73,5,IF(N73&gt;=L73,5-ABS(M73-N73)/(M73-L73),IF(N73&gt;=K73,4-ABS(L73-N73)/(L73-K73),IF(N73&gt;=J73,3-ABS(K73-N73)/(K73-J73),IF(N73&gt;=I73,2-ABS(J73-N73)/(J73-I73),1))))))</f>
        <v>5</v>
      </c>
    </row>
    <row r="74" spans="1:17" x14ac:dyDescent="0.4">
      <c r="A74" s="248"/>
      <c r="B74" s="249"/>
      <c r="C74" s="111"/>
      <c r="D74" s="111"/>
      <c r="E74" s="111"/>
      <c r="F74" s="111"/>
      <c r="G74" s="113">
        <f>SUM(G19:G73)</f>
        <v>70</v>
      </c>
      <c r="H74" s="111"/>
      <c r="I74" s="111"/>
      <c r="J74" s="111"/>
      <c r="K74" s="111"/>
      <c r="L74" s="111"/>
      <c r="M74" s="111"/>
      <c r="N74" s="111"/>
      <c r="O74" s="281"/>
      <c r="Q74" s="105">
        <f t="shared" si="1"/>
        <v>0</v>
      </c>
    </row>
    <row r="75" spans="1:17" ht="27" x14ac:dyDescent="0.45">
      <c r="A75" s="262" t="s">
        <v>100</v>
      </c>
      <c r="B75" s="263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4"/>
      <c r="O75" s="280">
        <f>SUM(O18:O74)</f>
        <v>65.200285714285712</v>
      </c>
    </row>
    <row r="76" spans="1:17" ht="33" x14ac:dyDescent="0.55000000000000004">
      <c r="A76" s="250" t="s">
        <v>101</v>
      </c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2"/>
      <c r="O76" s="282"/>
    </row>
    <row r="77" spans="1:17" x14ac:dyDescent="0.4">
      <c r="A77" s="81" t="s">
        <v>102</v>
      </c>
      <c r="B77" s="81"/>
      <c r="C77" s="81" t="s">
        <v>103</v>
      </c>
    </row>
    <row r="80" spans="1:17" ht="36" x14ac:dyDescent="0.6">
      <c r="A80" s="253" t="s">
        <v>104</v>
      </c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</row>
    <row r="81" spans="1:15" ht="36" x14ac:dyDescent="0.6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283"/>
    </row>
    <row r="82" spans="1:15" ht="30" x14ac:dyDescent="0.5">
      <c r="A82" s="81" t="s">
        <v>105</v>
      </c>
      <c r="B82" s="81" t="str">
        <f>B4</f>
        <v>นางพิราวรรณ  สุวรรณนิตย์กุล</v>
      </c>
      <c r="C82" s="81" t="s">
        <v>106</v>
      </c>
      <c r="D82" s="119">
        <f>D4</f>
        <v>6400134</v>
      </c>
      <c r="E82" s="81"/>
      <c r="F82" s="81" t="s">
        <v>2</v>
      </c>
      <c r="G82" s="81" t="str">
        <f>B5</f>
        <v>พนักงานพัฒนาธุรกิจ 6</v>
      </c>
      <c r="H82" s="81"/>
      <c r="I82" s="120"/>
      <c r="J82" s="120"/>
      <c r="K82" s="120"/>
      <c r="L82" s="120"/>
      <c r="M82" s="120"/>
      <c r="N82" s="120"/>
      <c r="O82" s="284"/>
    </row>
    <row r="83" spans="1:15" ht="30" x14ac:dyDescent="0.5">
      <c r="A83" s="81" t="s">
        <v>107</v>
      </c>
      <c r="B83" s="81" t="str">
        <f>B6</f>
        <v>ลำพญากลาง</v>
      </c>
      <c r="C83" s="81" t="str">
        <f>D6</f>
        <v>สระบุรี</v>
      </c>
      <c r="E83" s="81" t="s">
        <v>108</v>
      </c>
      <c r="F83" s="80" t="s">
        <v>108</v>
      </c>
      <c r="I83" s="121"/>
      <c r="J83" s="121"/>
      <c r="K83" s="121"/>
      <c r="L83" s="121"/>
      <c r="M83" s="121"/>
      <c r="N83" s="121"/>
      <c r="O83" s="285"/>
    </row>
    <row r="85" spans="1:15" ht="27" x14ac:dyDescent="0.45">
      <c r="A85" s="254" t="s">
        <v>109</v>
      </c>
      <c r="B85" s="255"/>
      <c r="C85" s="256"/>
      <c r="D85" s="254" t="s">
        <v>43</v>
      </c>
      <c r="E85" s="255"/>
      <c r="F85" s="256"/>
      <c r="G85" s="122" t="s">
        <v>44</v>
      </c>
      <c r="H85" s="260" t="s">
        <v>45</v>
      </c>
      <c r="I85" s="262" t="s">
        <v>46</v>
      </c>
      <c r="J85" s="263"/>
      <c r="K85" s="263"/>
      <c r="L85" s="263"/>
      <c r="M85" s="264"/>
      <c r="N85" s="229" t="s">
        <v>47</v>
      </c>
      <c r="O85" s="278" t="s">
        <v>48</v>
      </c>
    </row>
    <row r="86" spans="1:15" ht="27" x14ac:dyDescent="0.45">
      <c r="A86" s="257"/>
      <c r="B86" s="258"/>
      <c r="C86" s="259"/>
      <c r="D86" s="257"/>
      <c r="E86" s="258"/>
      <c r="F86" s="259"/>
      <c r="G86" s="123" t="s">
        <v>52</v>
      </c>
      <c r="H86" s="261"/>
      <c r="I86" s="124">
        <v>1</v>
      </c>
      <c r="J86" s="124">
        <v>2</v>
      </c>
      <c r="K86" s="124">
        <v>3</v>
      </c>
      <c r="L86" s="124" t="s">
        <v>53</v>
      </c>
      <c r="M86" s="124" t="s">
        <v>54</v>
      </c>
      <c r="N86" s="230"/>
      <c r="O86" s="279"/>
    </row>
    <row r="87" spans="1:15" x14ac:dyDescent="0.4">
      <c r="A87" s="245" t="s">
        <v>110</v>
      </c>
      <c r="B87" s="246"/>
      <c r="C87" s="246"/>
      <c r="D87" s="270" t="s">
        <v>111</v>
      </c>
      <c r="E87" s="271"/>
      <c r="F87" s="272"/>
      <c r="G87" s="95">
        <v>7.5</v>
      </c>
      <c r="H87" s="128" t="s">
        <v>112</v>
      </c>
      <c r="I87" s="129" t="s">
        <v>112</v>
      </c>
      <c r="J87" s="129" t="s">
        <v>112</v>
      </c>
      <c r="K87" s="129" t="s">
        <v>112</v>
      </c>
      <c r="L87" s="129" t="s">
        <v>112</v>
      </c>
      <c r="M87" s="129" t="s">
        <v>112</v>
      </c>
      <c r="N87" s="98"/>
      <c r="O87" s="280"/>
    </row>
    <row r="88" spans="1:15" x14ac:dyDescent="0.4">
      <c r="A88" s="245"/>
      <c r="B88" s="246"/>
      <c r="C88" s="246"/>
      <c r="D88" s="130"/>
      <c r="E88" s="131"/>
      <c r="F88" s="132"/>
      <c r="G88" s="133"/>
      <c r="H88" s="134">
        <v>243587</v>
      </c>
      <c r="I88" s="135">
        <v>243633</v>
      </c>
      <c r="J88" s="135">
        <v>243618</v>
      </c>
      <c r="K88" s="135">
        <v>243602</v>
      </c>
      <c r="L88" s="135">
        <v>243587</v>
      </c>
      <c r="M88" s="135">
        <v>243572</v>
      </c>
      <c r="N88" s="99"/>
      <c r="O88" s="281"/>
    </row>
    <row r="89" spans="1:15" x14ac:dyDescent="0.4">
      <c r="A89" s="96"/>
      <c r="B89" s="97"/>
      <c r="C89" s="97"/>
      <c r="D89" s="130"/>
      <c r="E89" s="131"/>
      <c r="F89" s="132"/>
      <c r="G89" s="133"/>
      <c r="H89" s="134"/>
      <c r="I89" s="135"/>
      <c r="J89" s="135"/>
      <c r="K89" s="135"/>
      <c r="L89" s="135"/>
      <c r="M89" s="135"/>
      <c r="N89" s="99"/>
      <c r="O89" s="281"/>
    </row>
    <row r="90" spans="1:15" x14ac:dyDescent="0.4">
      <c r="A90" s="96"/>
      <c r="B90" s="97"/>
      <c r="C90" s="97"/>
      <c r="D90" s="130"/>
      <c r="E90" s="131"/>
      <c r="F90" s="132"/>
      <c r="G90" s="133"/>
      <c r="H90" s="134"/>
      <c r="I90" s="135"/>
      <c r="J90" s="135"/>
      <c r="K90" s="135"/>
      <c r="L90" s="135"/>
      <c r="M90" s="135"/>
      <c r="N90" s="99"/>
      <c r="O90" s="281"/>
    </row>
    <row r="91" spans="1:15" x14ac:dyDescent="0.4">
      <c r="A91" s="96"/>
      <c r="B91" s="97"/>
      <c r="C91" s="97"/>
      <c r="D91" s="125"/>
      <c r="E91" s="126"/>
      <c r="F91" s="127"/>
      <c r="G91" s="95"/>
      <c r="H91" s="133"/>
      <c r="I91" s="98"/>
      <c r="J91" s="98"/>
      <c r="K91" s="98"/>
      <c r="L91" s="98"/>
      <c r="M91" s="98"/>
      <c r="N91" s="99"/>
      <c r="O91" s="281"/>
    </row>
    <row r="92" spans="1:15" x14ac:dyDescent="0.4">
      <c r="A92" s="245" t="s">
        <v>168</v>
      </c>
      <c r="B92" s="246"/>
      <c r="C92" s="246"/>
      <c r="D92" s="270" t="s">
        <v>114</v>
      </c>
      <c r="E92" s="271"/>
      <c r="F92" s="272"/>
      <c r="G92" s="95">
        <v>2.5</v>
      </c>
      <c r="H92" s="128" t="s">
        <v>112</v>
      </c>
      <c r="I92" s="129" t="s">
        <v>112</v>
      </c>
      <c r="J92" s="129" t="s">
        <v>112</v>
      </c>
      <c r="K92" s="129" t="s">
        <v>112</v>
      </c>
      <c r="L92" s="129" t="s">
        <v>112</v>
      </c>
      <c r="M92" s="129" t="s">
        <v>112</v>
      </c>
      <c r="N92" s="99"/>
      <c r="O92" s="281"/>
    </row>
    <row r="93" spans="1:15" x14ac:dyDescent="0.4">
      <c r="A93" s="96"/>
      <c r="B93" s="97"/>
      <c r="C93" s="97"/>
      <c r="D93" s="125"/>
      <c r="E93" s="126"/>
      <c r="F93" s="127"/>
      <c r="G93" s="99"/>
      <c r="H93" s="134">
        <v>243587</v>
      </c>
      <c r="I93" s="135">
        <v>243633</v>
      </c>
      <c r="J93" s="135">
        <v>243618</v>
      </c>
      <c r="K93" s="135">
        <v>243602</v>
      </c>
      <c r="L93" s="135">
        <v>243587</v>
      </c>
      <c r="M93" s="135">
        <v>243572</v>
      </c>
      <c r="N93" s="98" t="s">
        <v>108</v>
      </c>
      <c r="O93" s="281"/>
    </row>
    <row r="94" spans="1:15" x14ac:dyDescent="0.4">
      <c r="A94" s="245"/>
      <c r="B94" s="246"/>
      <c r="C94" s="246"/>
      <c r="D94" s="270"/>
      <c r="E94" s="271"/>
      <c r="F94" s="272"/>
      <c r="G94" s="99"/>
      <c r="H94" s="129"/>
      <c r="I94" s="129"/>
      <c r="J94" s="129"/>
      <c r="K94" s="129"/>
      <c r="L94" s="129"/>
      <c r="M94" s="129"/>
      <c r="N94" s="98"/>
      <c r="O94" s="281"/>
    </row>
    <row r="95" spans="1:15" x14ac:dyDescent="0.4">
      <c r="A95" s="267"/>
      <c r="B95" s="268"/>
      <c r="C95" s="269"/>
      <c r="D95" s="270"/>
      <c r="E95" s="271"/>
      <c r="F95" s="272"/>
      <c r="G95" s="98"/>
      <c r="H95" s="136"/>
      <c r="I95" s="136"/>
      <c r="J95" s="136"/>
      <c r="K95" s="136"/>
      <c r="L95" s="136"/>
      <c r="M95" s="135"/>
      <c r="N95" s="98"/>
      <c r="O95" s="281"/>
    </row>
    <row r="96" spans="1:15" ht="33" x14ac:dyDescent="0.55000000000000004">
      <c r="A96" s="273" t="s">
        <v>115</v>
      </c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5"/>
      <c r="O96" s="286"/>
    </row>
  </sheetData>
  <mergeCells count="114">
    <mergeCell ref="A95:C95"/>
    <mergeCell ref="D95:F95"/>
    <mergeCell ref="A96:N96"/>
    <mergeCell ref="A87:C87"/>
    <mergeCell ref="D87:F87"/>
    <mergeCell ref="A88:C88"/>
    <mergeCell ref="A92:C92"/>
    <mergeCell ref="D92:F92"/>
    <mergeCell ref="A94:C94"/>
    <mergeCell ref="D94:F94"/>
    <mergeCell ref="A76:N76"/>
    <mergeCell ref="A80:O80"/>
    <mergeCell ref="A85:C86"/>
    <mergeCell ref="D85:F86"/>
    <mergeCell ref="H85:H86"/>
    <mergeCell ref="I85:M85"/>
    <mergeCell ref="N85:N86"/>
    <mergeCell ref="O85:O86"/>
    <mergeCell ref="A70:F70"/>
    <mergeCell ref="A71:B71"/>
    <mergeCell ref="A72:B72"/>
    <mergeCell ref="A73:B73"/>
    <mergeCell ref="A74:B74"/>
    <mergeCell ref="A75:N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F27"/>
    <mergeCell ref="A18:F18"/>
    <mergeCell ref="A19:B19"/>
    <mergeCell ref="A20:B20"/>
    <mergeCell ref="A21:B21"/>
    <mergeCell ref="A16:B17"/>
    <mergeCell ref="C16:C17"/>
    <mergeCell ref="D16:E16"/>
    <mergeCell ref="F16:F17"/>
    <mergeCell ref="H16:H17"/>
    <mergeCell ref="A15:O15"/>
    <mergeCell ref="I11:J11"/>
    <mergeCell ref="A12:E12"/>
    <mergeCell ref="G12:H12"/>
    <mergeCell ref="I12:J12"/>
    <mergeCell ref="K12:L12"/>
    <mergeCell ref="M12:O12"/>
    <mergeCell ref="N16:N17"/>
    <mergeCell ref="O16:O17"/>
    <mergeCell ref="I16:M16"/>
    <mergeCell ref="A10:E11"/>
    <mergeCell ref="F10:F11"/>
    <mergeCell ref="G10:H10"/>
    <mergeCell ref="I10:J10"/>
    <mergeCell ref="K10:L11"/>
    <mergeCell ref="M10:O11"/>
    <mergeCell ref="G11:H11"/>
    <mergeCell ref="A13:E13"/>
    <mergeCell ref="G13:H13"/>
    <mergeCell ref="I13:J13"/>
    <mergeCell ref="K13:L13"/>
    <mergeCell ref="M13:O13"/>
    <mergeCell ref="A1:O1"/>
    <mergeCell ref="A2:O2"/>
    <mergeCell ref="F4:H4"/>
    <mergeCell ref="I4:K4"/>
    <mergeCell ref="L4:N4"/>
    <mergeCell ref="F6:H6"/>
    <mergeCell ref="I6:K6"/>
    <mergeCell ref="L6:N6"/>
    <mergeCell ref="F7:H7"/>
    <mergeCell ref="I7:K7"/>
    <mergeCell ref="L7:N7"/>
  </mergeCells>
  <printOptions horizontalCentered="1"/>
  <pageMargins left="0.23622047244094491" right="0.23622047244094491" top="0.35433070866141736" bottom="0.74803149606299213" header="0" footer="0.31496062992125984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>
      <selection activeCell="E29" sqref="E29"/>
    </sheetView>
  </sheetViews>
  <sheetFormatPr baseColWidth="10" defaultColWidth="10.83203125" defaultRowHeight="15" x14ac:dyDescent="0.2"/>
  <cols>
    <col min="2" max="2" width="33.5" customWidth="1"/>
  </cols>
  <sheetData>
    <row r="1" spans="1:6" x14ac:dyDescent="0.2">
      <c r="A1" s="137" t="s">
        <v>170</v>
      </c>
      <c r="B1" s="137" t="s">
        <v>171</v>
      </c>
      <c r="C1" s="137" t="s">
        <v>172</v>
      </c>
      <c r="D1" s="137" t="s">
        <v>173</v>
      </c>
      <c r="E1" s="137" t="s">
        <v>174</v>
      </c>
      <c r="F1" s="137" t="s">
        <v>175</v>
      </c>
    </row>
    <row r="2" spans="1:6" x14ac:dyDescent="0.2">
      <c r="A2" s="137" t="s">
        <v>176</v>
      </c>
      <c r="B2" s="137"/>
      <c r="C2" s="137"/>
      <c r="D2" s="137"/>
      <c r="E2" s="137"/>
      <c r="F2" s="137"/>
    </row>
    <row r="3" spans="1:6" x14ac:dyDescent="0.2">
      <c r="A3" s="137" t="s">
        <v>177</v>
      </c>
      <c r="B3" s="137"/>
      <c r="C3" s="137"/>
      <c r="D3" s="137"/>
      <c r="E3" s="137"/>
      <c r="F3" s="137"/>
    </row>
    <row r="4" spans="1:6" x14ac:dyDescent="0.2">
      <c r="A4" s="137" t="s">
        <v>178</v>
      </c>
      <c r="B4" s="137"/>
      <c r="C4" s="137" t="s">
        <v>179</v>
      </c>
      <c r="D4" s="137">
        <v>159</v>
      </c>
      <c r="E4" s="137">
        <v>170</v>
      </c>
      <c r="F4" s="137" t="s">
        <v>63</v>
      </c>
    </row>
    <row r="5" spans="1:6" x14ac:dyDescent="0.2">
      <c r="A5" s="137" t="s">
        <v>180</v>
      </c>
      <c r="B5" s="137"/>
      <c r="C5" s="137" t="s">
        <v>179</v>
      </c>
      <c r="D5" s="137">
        <v>159</v>
      </c>
      <c r="E5" s="137">
        <v>168</v>
      </c>
      <c r="F5" s="137" t="s">
        <v>63</v>
      </c>
    </row>
    <row r="6" spans="1:6" x14ac:dyDescent="0.2">
      <c r="A6" s="137" t="s">
        <v>181</v>
      </c>
      <c r="B6" s="137"/>
      <c r="C6" s="137"/>
      <c r="D6" s="137"/>
      <c r="E6" s="137"/>
      <c r="F6" s="137"/>
    </row>
    <row r="7" spans="1:6" x14ac:dyDescent="0.2">
      <c r="A7" s="137" t="s">
        <v>182</v>
      </c>
      <c r="B7" s="137"/>
      <c r="C7" s="137" t="s">
        <v>183</v>
      </c>
      <c r="D7" s="137">
        <v>1</v>
      </c>
      <c r="E7" s="137">
        <v>1</v>
      </c>
      <c r="F7" s="137" t="s">
        <v>63</v>
      </c>
    </row>
    <row r="8" spans="1:6" x14ac:dyDescent="0.2">
      <c r="A8" s="137" t="s">
        <v>184</v>
      </c>
      <c r="B8" s="137"/>
      <c r="C8" s="137" t="s">
        <v>183</v>
      </c>
      <c r="D8" s="137">
        <v>1</v>
      </c>
      <c r="E8" s="137">
        <v>1</v>
      </c>
      <c r="F8" s="137" t="s">
        <v>63</v>
      </c>
    </row>
    <row r="9" spans="1:6" x14ac:dyDescent="0.2">
      <c r="A9" s="137" t="s">
        <v>185</v>
      </c>
      <c r="B9" s="137"/>
      <c r="C9" s="137" t="s">
        <v>186</v>
      </c>
      <c r="D9" s="137">
        <v>4.05</v>
      </c>
      <c r="E9" s="137">
        <v>20</v>
      </c>
      <c r="F9" s="137" t="s">
        <v>59</v>
      </c>
    </row>
    <row r="10" spans="1:6" x14ac:dyDescent="0.2">
      <c r="A10" s="137" t="s">
        <v>187</v>
      </c>
      <c r="B10" s="137"/>
      <c r="C10" s="137" t="s">
        <v>188</v>
      </c>
      <c r="D10" s="137">
        <v>47</v>
      </c>
      <c r="E10" s="137">
        <v>57</v>
      </c>
      <c r="F10" s="137" t="s">
        <v>63</v>
      </c>
    </row>
    <row r="11" spans="1:6" x14ac:dyDescent="0.2">
      <c r="A11" s="137" t="s">
        <v>189</v>
      </c>
      <c r="B11" s="137"/>
      <c r="C11" s="137" t="s">
        <v>188</v>
      </c>
      <c r="D11" s="137">
        <v>280</v>
      </c>
      <c r="E11" s="137">
        <v>331</v>
      </c>
      <c r="F11" s="137" t="s">
        <v>63</v>
      </c>
    </row>
    <row r="12" spans="1:6" x14ac:dyDescent="0.2">
      <c r="A12" s="137" t="s">
        <v>190</v>
      </c>
      <c r="B12" s="137"/>
      <c r="C12" s="137" t="s">
        <v>188</v>
      </c>
      <c r="D12" s="137">
        <v>2</v>
      </c>
      <c r="E12" s="137">
        <v>3</v>
      </c>
      <c r="F12" s="137" t="s">
        <v>63</v>
      </c>
    </row>
    <row r="13" spans="1:6" x14ac:dyDescent="0.2">
      <c r="A13" s="137" t="s">
        <v>191</v>
      </c>
      <c r="B13" s="137"/>
      <c r="C13" s="137"/>
      <c r="D13" s="137"/>
      <c r="E13" s="137"/>
      <c r="F13" s="137"/>
    </row>
    <row r="14" spans="1:6" x14ac:dyDescent="0.2">
      <c r="A14" s="137" t="s">
        <v>192</v>
      </c>
      <c r="B14" s="137"/>
      <c r="C14" s="137" t="s">
        <v>193</v>
      </c>
      <c r="D14" s="137">
        <v>8.73</v>
      </c>
      <c r="E14" s="137">
        <v>10.28</v>
      </c>
      <c r="F14" s="137" t="s">
        <v>59</v>
      </c>
    </row>
    <row r="15" spans="1:6" x14ac:dyDescent="0.2">
      <c r="A15" s="137" t="s">
        <v>194</v>
      </c>
      <c r="B15" s="137"/>
      <c r="C15" s="137" t="s">
        <v>195</v>
      </c>
      <c r="D15" s="137">
        <v>8.4499999999999993</v>
      </c>
      <c r="E15" s="137">
        <v>-204.38</v>
      </c>
      <c r="F15" s="137" t="s">
        <v>59</v>
      </c>
    </row>
    <row r="16" spans="1:6" x14ac:dyDescent="0.2">
      <c r="A16" s="137" t="s">
        <v>196</v>
      </c>
      <c r="B16" s="137"/>
      <c r="C16" s="137"/>
      <c r="D16" s="137"/>
      <c r="E16" s="137"/>
      <c r="F16" s="137"/>
    </row>
    <row r="17" spans="1:6" x14ac:dyDescent="0.2">
      <c r="A17" s="137" t="s">
        <v>197</v>
      </c>
      <c r="B17" s="137"/>
      <c r="C17" s="137"/>
      <c r="D17" s="137"/>
      <c r="E17" s="137"/>
      <c r="F17" s="137"/>
    </row>
    <row r="18" spans="1:6" x14ac:dyDescent="0.2">
      <c r="A18" s="137" t="s">
        <v>198</v>
      </c>
      <c r="B18" s="137"/>
      <c r="C18" s="137" t="s">
        <v>199</v>
      </c>
      <c r="D18" s="137">
        <v>85</v>
      </c>
      <c r="E18" s="137">
        <v>93.04</v>
      </c>
      <c r="F18" s="137" t="s">
        <v>71</v>
      </c>
    </row>
    <row r="19" spans="1:6" x14ac:dyDescent="0.2">
      <c r="A19" s="137" t="s">
        <v>200</v>
      </c>
      <c r="B19" s="137"/>
      <c r="C19" s="137" t="s">
        <v>199</v>
      </c>
      <c r="D19" s="137">
        <v>85</v>
      </c>
      <c r="E19" s="137">
        <v>93.22</v>
      </c>
      <c r="F19" s="137" t="s">
        <v>71</v>
      </c>
    </row>
    <row r="20" spans="1:6" x14ac:dyDescent="0.2">
      <c r="A20" s="137" t="s">
        <v>201</v>
      </c>
      <c r="B20" s="137"/>
      <c r="C20" s="137" t="s">
        <v>202</v>
      </c>
      <c r="D20" s="137">
        <v>85</v>
      </c>
      <c r="E20" s="137">
        <v>83.1</v>
      </c>
      <c r="F20" s="137" t="s">
        <v>71</v>
      </c>
    </row>
    <row r="21" spans="1:6" x14ac:dyDescent="0.2">
      <c r="A21" s="137" t="s">
        <v>203</v>
      </c>
      <c r="B21" s="137"/>
      <c r="C21" s="137" t="s">
        <v>199</v>
      </c>
      <c r="D21" s="137">
        <v>85</v>
      </c>
      <c r="E21" s="137">
        <v>93.54</v>
      </c>
      <c r="F21" s="137" t="s">
        <v>71</v>
      </c>
    </row>
    <row r="22" spans="1:6" x14ac:dyDescent="0.2">
      <c r="A22" s="137" t="s">
        <v>204</v>
      </c>
      <c r="B22" s="137"/>
      <c r="C22" s="137" t="s">
        <v>199</v>
      </c>
      <c r="D22" s="137">
        <v>85</v>
      </c>
      <c r="E22" s="137">
        <v>93.89</v>
      </c>
      <c r="F22" s="137" t="s">
        <v>71</v>
      </c>
    </row>
    <row r="23" spans="1:6" x14ac:dyDescent="0.2">
      <c r="A23" s="137" t="s">
        <v>205</v>
      </c>
      <c r="B23" s="137"/>
      <c r="C23" s="137" t="s">
        <v>206</v>
      </c>
      <c r="D23" s="137">
        <v>85</v>
      </c>
      <c r="E23" s="137">
        <v>99.51</v>
      </c>
      <c r="F23" s="137" t="s">
        <v>71</v>
      </c>
    </row>
    <row r="24" spans="1:6" x14ac:dyDescent="0.2">
      <c r="A24" s="137" t="s">
        <v>207</v>
      </c>
      <c r="B24" s="137"/>
      <c r="C24" s="137" t="s">
        <v>199</v>
      </c>
      <c r="D24" s="137">
        <v>85</v>
      </c>
      <c r="E24" s="137">
        <v>97.86</v>
      </c>
      <c r="F24" s="137" t="s">
        <v>71</v>
      </c>
    </row>
    <row r="25" spans="1:6" x14ac:dyDescent="0.2">
      <c r="A25" s="137" t="s">
        <v>208</v>
      </c>
      <c r="B25" s="137"/>
      <c r="C25" s="137" t="s">
        <v>199</v>
      </c>
      <c r="D25" s="137">
        <v>85</v>
      </c>
      <c r="E25" s="137">
        <v>97.99</v>
      </c>
      <c r="F25" s="137" t="s">
        <v>71</v>
      </c>
    </row>
    <row r="26" spans="1:6" x14ac:dyDescent="0.2">
      <c r="A26" s="137" t="s">
        <v>209</v>
      </c>
      <c r="B26" s="137"/>
      <c r="C26" s="137" t="s">
        <v>206</v>
      </c>
      <c r="D26" s="137">
        <v>85</v>
      </c>
      <c r="E26" s="137">
        <v>86.99</v>
      </c>
      <c r="F26" s="137" t="s">
        <v>71</v>
      </c>
    </row>
    <row r="27" spans="1:6" x14ac:dyDescent="0.2">
      <c r="A27" s="137" t="s">
        <v>210</v>
      </c>
      <c r="B27" s="137"/>
      <c r="C27" s="137" t="s">
        <v>199</v>
      </c>
      <c r="D27" s="137">
        <v>85</v>
      </c>
      <c r="E27" s="137">
        <v>97.53</v>
      </c>
      <c r="F27" s="137" t="s">
        <v>71</v>
      </c>
    </row>
    <row r="28" spans="1:6" x14ac:dyDescent="0.2">
      <c r="A28" s="137" t="s">
        <v>211</v>
      </c>
      <c r="B28" s="137"/>
      <c r="C28" s="137" t="s">
        <v>199</v>
      </c>
      <c r="D28" s="137">
        <v>85</v>
      </c>
      <c r="E28" s="137">
        <v>98.13</v>
      </c>
      <c r="F28" s="137" t="s">
        <v>71</v>
      </c>
    </row>
    <row r="29" spans="1:6" x14ac:dyDescent="0.2">
      <c r="A29" s="137" t="s">
        <v>212</v>
      </c>
      <c r="B29" s="137"/>
      <c r="C29" s="137" t="s">
        <v>213</v>
      </c>
      <c r="D29" s="137">
        <v>90</v>
      </c>
      <c r="E29" s="137">
        <v>93.47</v>
      </c>
      <c r="F29" s="137" t="s">
        <v>71</v>
      </c>
    </row>
    <row r="30" spans="1:6" x14ac:dyDescent="0.2">
      <c r="A30" s="137" t="s">
        <v>214</v>
      </c>
      <c r="B30" s="137"/>
      <c r="C30" s="137"/>
      <c r="D30" s="137"/>
      <c r="E30" s="137"/>
      <c r="F30" s="137"/>
    </row>
    <row r="31" spans="1:6" x14ac:dyDescent="0.2">
      <c r="A31" s="137" t="s">
        <v>215</v>
      </c>
      <c r="B31" s="137"/>
      <c r="C31" s="137" t="s">
        <v>216</v>
      </c>
      <c r="D31" s="137">
        <v>90</v>
      </c>
      <c r="E31" s="137">
        <v>100</v>
      </c>
      <c r="F31" s="137" t="s">
        <v>71</v>
      </c>
    </row>
    <row r="32" spans="1:6" x14ac:dyDescent="0.2">
      <c r="A32" s="137" t="s">
        <v>217</v>
      </c>
      <c r="B32" s="137"/>
      <c r="C32" s="137" t="s">
        <v>216</v>
      </c>
      <c r="D32" s="137">
        <v>90</v>
      </c>
      <c r="E32" s="137">
        <v>100</v>
      </c>
      <c r="F32" s="137" t="s">
        <v>71</v>
      </c>
    </row>
    <row r="33" spans="1:6" x14ac:dyDescent="0.2">
      <c r="A33" s="137" t="s">
        <v>218</v>
      </c>
      <c r="B33" s="137"/>
      <c r="C33" s="137" t="s">
        <v>219</v>
      </c>
      <c r="D33" s="137">
        <v>90</v>
      </c>
      <c r="E33" s="137">
        <v>97.4</v>
      </c>
      <c r="F33" s="137" t="s">
        <v>71</v>
      </c>
    </row>
    <row r="34" spans="1:6" x14ac:dyDescent="0.2">
      <c r="A34" s="137" t="s">
        <v>220</v>
      </c>
      <c r="B34" s="137"/>
      <c r="C34" s="137" t="s">
        <v>216</v>
      </c>
      <c r="D34" s="137">
        <v>90</v>
      </c>
      <c r="E34" s="137">
        <v>100</v>
      </c>
      <c r="F34" s="137" t="s">
        <v>71</v>
      </c>
    </row>
    <row r="35" spans="1:6" x14ac:dyDescent="0.2">
      <c r="A35" s="137" t="s">
        <v>221</v>
      </c>
      <c r="B35" s="137"/>
      <c r="C35" s="137" t="s">
        <v>216</v>
      </c>
      <c r="D35" s="137">
        <v>90</v>
      </c>
      <c r="E35" s="137">
        <v>100</v>
      </c>
      <c r="F35" s="137" t="s">
        <v>71</v>
      </c>
    </row>
    <row r="36" spans="1:6" x14ac:dyDescent="0.2">
      <c r="A36" s="137" t="s">
        <v>222</v>
      </c>
      <c r="B36" s="137"/>
      <c r="C36" s="137" t="s">
        <v>219</v>
      </c>
      <c r="D36" s="137">
        <v>90</v>
      </c>
      <c r="E36" s="137">
        <v>100</v>
      </c>
      <c r="F36" s="137" t="s">
        <v>71</v>
      </c>
    </row>
    <row r="37" spans="1:6" x14ac:dyDescent="0.2">
      <c r="A37" s="137" t="s">
        <v>223</v>
      </c>
      <c r="B37" s="137"/>
      <c r="C37" s="137" t="s">
        <v>216</v>
      </c>
      <c r="D37" s="137">
        <v>90</v>
      </c>
      <c r="E37" s="137">
        <v>100</v>
      </c>
      <c r="F37" s="137" t="s">
        <v>71</v>
      </c>
    </row>
    <row r="38" spans="1:6" x14ac:dyDescent="0.2">
      <c r="A38" s="137" t="s">
        <v>224</v>
      </c>
      <c r="B38" s="137"/>
      <c r="C38" s="137" t="s">
        <v>216</v>
      </c>
      <c r="D38" s="137">
        <v>90</v>
      </c>
      <c r="E38" s="137">
        <v>100</v>
      </c>
      <c r="F38" s="137" t="s">
        <v>71</v>
      </c>
    </row>
    <row r="39" spans="1:6" x14ac:dyDescent="0.2">
      <c r="A39" s="137" t="s">
        <v>225</v>
      </c>
      <c r="B39" s="137"/>
      <c r="C39" s="137" t="s">
        <v>219</v>
      </c>
      <c r="D39" s="137">
        <v>90</v>
      </c>
      <c r="E39" s="137">
        <v>99.79</v>
      </c>
      <c r="F39" s="137" t="s">
        <v>71</v>
      </c>
    </row>
    <row r="40" spans="1:6" x14ac:dyDescent="0.2">
      <c r="A40" s="137" t="s">
        <v>226</v>
      </c>
      <c r="B40" s="137"/>
      <c r="C40" s="137" t="s">
        <v>219</v>
      </c>
      <c r="D40" s="137">
        <v>90</v>
      </c>
      <c r="E40" s="137">
        <v>99.88</v>
      </c>
      <c r="F40" s="137" t="s">
        <v>71</v>
      </c>
    </row>
    <row r="41" spans="1:6" x14ac:dyDescent="0.2">
      <c r="A41" s="137" t="s">
        <v>227</v>
      </c>
      <c r="B41" s="137"/>
      <c r="C41" s="137"/>
      <c r="D41" s="137"/>
      <c r="E41" s="137"/>
      <c r="F41" s="137"/>
    </row>
    <row r="42" spans="1:6" x14ac:dyDescent="0.2">
      <c r="A42" s="137" t="s">
        <v>228</v>
      </c>
      <c r="B42" s="137"/>
      <c r="C42" s="137" t="s">
        <v>229</v>
      </c>
      <c r="D42" s="137">
        <v>98.5</v>
      </c>
      <c r="E42" s="137">
        <v>100</v>
      </c>
      <c r="F42" s="137" t="s">
        <v>71</v>
      </c>
    </row>
    <row r="43" spans="1:6" x14ac:dyDescent="0.2">
      <c r="A43" s="137" t="s">
        <v>230</v>
      </c>
      <c r="B43" s="137"/>
      <c r="C43" s="137" t="s">
        <v>229</v>
      </c>
      <c r="D43" s="137">
        <v>98.5</v>
      </c>
      <c r="E43" s="137">
        <v>100</v>
      </c>
      <c r="F43" s="137" t="s">
        <v>71</v>
      </c>
    </row>
    <row r="44" spans="1:6" x14ac:dyDescent="0.2">
      <c r="A44" s="137" t="s">
        <v>231</v>
      </c>
      <c r="B44" s="137"/>
      <c r="C44" s="137" t="s">
        <v>232</v>
      </c>
      <c r="D44" s="137">
        <v>98.5</v>
      </c>
      <c r="E44" s="137">
        <v>99.04</v>
      </c>
      <c r="F44" s="137" t="s">
        <v>71</v>
      </c>
    </row>
    <row r="45" spans="1:6" x14ac:dyDescent="0.2">
      <c r="A45" s="137" t="s">
        <v>233</v>
      </c>
      <c r="B45" s="137"/>
      <c r="C45" s="137" t="s">
        <v>229</v>
      </c>
      <c r="D45" s="137">
        <v>98.5</v>
      </c>
      <c r="E45" s="137">
        <v>100</v>
      </c>
      <c r="F45" s="137" t="s">
        <v>71</v>
      </c>
    </row>
    <row r="46" spans="1:6" x14ac:dyDescent="0.2">
      <c r="A46" s="137" t="s">
        <v>234</v>
      </c>
      <c r="B46" s="137"/>
      <c r="C46" s="137" t="s">
        <v>229</v>
      </c>
      <c r="D46" s="137">
        <v>98.5</v>
      </c>
      <c r="E46" s="137">
        <v>100</v>
      </c>
      <c r="F46" s="137" t="s">
        <v>71</v>
      </c>
    </row>
    <row r="47" spans="1:6" x14ac:dyDescent="0.2">
      <c r="A47" s="137" t="s">
        <v>235</v>
      </c>
      <c r="B47" s="137"/>
      <c r="C47" s="137" t="s">
        <v>232</v>
      </c>
      <c r="D47" s="137">
        <v>98.5</v>
      </c>
      <c r="E47" s="137">
        <v>98.75</v>
      </c>
      <c r="F47" s="137" t="s">
        <v>71</v>
      </c>
    </row>
    <row r="48" spans="1:6" x14ac:dyDescent="0.2">
      <c r="A48" s="137" t="s">
        <v>236</v>
      </c>
      <c r="B48" s="137"/>
      <c r="C48" s="137" t="s">
        <v>229</v>
      </c>
      <c r="D48" s="137">
        <v>98.5</v>
      </c>
      <c r="E48" s="137">
        <v>100</v>
      </c>
      <c r="F48" s="137" t="s">
        <v>71</v>
      </c>
    </row>
    <row r="49" spans="1:6" x14ac:dyDescent="0.2">
      <c r="A49" s="137" t="s">
        <v>237</v>
      </c>
      <c r="B49" s="137"/>
      <c r="C49" s="137" t="s">
        <v>229</v>
      </c>
      <c r="D49" s="137">
        <v>98.5</v>
      </c>
      <c r="E49" s="137">
        <v>100</v>
      </c>
      <c r="F49" s="137" t="s">
        <v>71</v>
      </c>
    </row>
    <row r="50" spans="1:6" x14ac:dyDescent="0.2">
      <c r="A50" s="137" t="s">
        <v>238</v>
      </c>
      <c r="B50" s="137"/>
      <c r="C50" s="137" t="s">
        <v>232</v>
      </c>
      <c r="D50" s="137">
        <v>98.5</v>
      </c>
      <c r="E50" s="137">
        <v>99.95</v>
      </c>
      <c r="F50" s="137" t="s">
        <v>71</v>
      </c>
    </row>
    <row r="51" spans="1:6" x14ac:dyDescent="0.2">
      <c r="A51" s="137" t="s">
        <v>239</v>
      </c>
      <c r="B51" s="137"/>
      <c r="C51" s="137" t="s">
        <v>229</v>
      </c>
      <c r="D51" s="137">
        <v>98.5</v>
      </c>
      <c r="E51" s="137">
        <v>100</v>
      </c>
      <c r="F51" s="137" t="s">
        <v>71</v>
      </c>
    </row>
    <row r="52" spans="1:6" x14ac:dyDescent="0.2">
      <c r="A52" s="137" t="s">
        <v>240</v>
      </c>
      <c r="B52" s="137"/>
      <c r="C52" s="137" t="s">
        <v>229</v>
      </c>
      <c r="D52" s="137">
        <v>98.5</v>
      </c>
      <c r="E52" s="137">
        <v>100</v>
      </c>
      <c r="F52" s="137" t="s">
        <v>71</v>
      </c>
    </row>
    <row r="53" spans="1:6" x14ac:dyDescent="0.2">
      <c r="A53" s="137" t="s">
        <v>241</v>
      </c>
      <c r="B53" s="137"/>
      <c r="C53" s="137" t="s">
        <v>242</v>
      </c>
      <c r="D53" s="137">
        <v>98.5</v>
      </c>
      <c r="E53" s="137">
        <v>97.84</v>
      </c>
      <c r="F53" s="137" t="s">
        <v>71</v>
      </c>
    </row>
    <row r="54" spans="1:6" x14ac:dyDescent="0.2">
      <c r="A54" s="137" t="s">
        <v>243</v>
      </c>
      <c r="B54" s="137"/>
      <c r="C54" s="137" t="s">
        <v>244</v>
      </c>
      <c r="D54" s="137">
        <v>80</v>
      </c>
      <c r="E54" s="137">
        <v>116.06</v>
      </c>
      <c r="F54" s="137" t="s">
        <v>71</v>
      </c>
    </row>
    <row r="55" spans="1:6" x14ac:dyDescent="0.2">
      <c r="A55" s="137" t="s">
        <v>245</v>
      </c>
      <c r="B55" s="137"/>
      <c r="C55" s="137" t="s">
        <v>246</v>
      </c>
      <c r="D55" s="137">
        <v>7.02</v>
      </c>
      <c r="E55" s="137">
        <v>6.78</v>
      </c>
      <c r="F55" s="137" t="s">
        <v>59</v>
      </c>
    </row>
    <row r="56" spans="1:6" x14ac:dyDescent="0.2">
      <c r="A56" s="137" t="s">
        <v>247</v>
      </c>
      <c r="B56" s="137"/>
      <c r="C56" s="137" t="s">
        <v>244</v>
      </c>
      <c r="D56" s="137">
        <v>20.95</v>
      </c>
      <c r="E56" s="137">
        <v>10.43</v>
      </c>
      <c r="F56" s="137" t="s">
        <v>59</v>
      </c>
    </row>
    <row r="57" spans="1:6" x14ac:dyDescent="0.2">
      <c r="A57" s="137" t="s">
        <v>248</v>
      </c>
      <c r="B57" s="137"/>
      <c r="C57" s="137" t="s">
        <v>188</v>
      </c>
      <c r="D57" s="137">
        <v>8.2100000000000009</v>
      </c>
      <c r="E57" s="137">
        <v>114.56</v>
      </c>
      <c r="F57" s="137" t="s">
        <v>59</v>
      </c>
    </row>
    <row r="58" spans="1:6" x14ac:dyDescent="0.2">
      <c r="A58" s="137" t="s">
        <v>249</v>
      </c>
      <c r="B58" s="137"/>
      <c r="C58" s="137" t="s">
        <v>250</v>
      </c>
      <c r="D58" s="137">
        <v>3.92</v>
      </c>
      <c r="E58" s="137">
        <v>4.03</v>
      </c>
      <c r="F58" s="137" t="s">
        <v>59</v>
      </c>
    </row>
    <row r="59" spans="1:6" x14ac:dyDescent="0.2">
      <c r="A59" s="137" t="s">
        <v>251</v>
      </c>
      <c r="B59" s="137"/>
      <c r="C59" s="137"/>
      <c r="D59" s="137"/>
      <c r="E59" s="137">
        <v>2.96</v>
      </c>
      <c r="F59" s="137" t="s">
        <v>59</v>
      </c>
    </row>
    <row r="60" spans="1:6" x14ac:dyDescent="0.2">
      <c r="A60" s="137" t="s">
        <v>252</v>
      </c>
      <c r="B60" s="137"/>
      <c r="C60" s="137"/>
      <c r="D60" s="137"/>
      <c r="E60" s="137">
        <v>1.07</v>
      </c>
      <c r="F60" s="137" t="s">
        <v>59</v>
      </c>
    </row>
    <row r="61" spans="1:6" x14ac:dyDescent="0.2">
      <c r="A61" s="137" t="s">
        <v>253</v>
      </c>
      <c r="B61" s="137"/>
      <c r="C61" s="137" t="s">
        <v>254</v>
      </c>
      <c r="D61" s="137">
        <v>65</v>
      </c>
      <c r="E61" s="137">
        <v>64.64</v>
      </c>
      <c r="F61" s="137" t="s">
        <v>71</v>
      </c>
    </row>
    <row r="62" spans="1:6" x14ac:dyDescent="0.2">
      <c r="A62" s="137" t="s">
        <v>108</v>
      </c>
      <c r="B62" s="137"/>
      <c r="C62" s="137"/>
      <c r="D62" s="137"/>
      <c r="E62" s="137"/>
      <c r="F62" s="137"/>
    </row>
    <row r="63" spans="1:6" x14ac:dyDescent="0.2">
      <c r="A63" s="137" t="s">
        <v>255</v>
      </c>
      <c r="B63" s="137"/>
      <c r="C63" s="137"/>
      <c r="D63" s="137"/>
      <c r="E63" s="137"/>
      <c r="F63" s="137"/>
    </row>
    <row r="64" spans="1:6" x14ac:dyDescent="0.2">
      <c r="A64" s="137" t="s">
        <v>256</v>
      </c>
      <c r="B64" s="137"/>
      <c r="C64" s="137" t="s">
        <v>188</v>
      </c>
      <c r="D64" s="137">
        <v>5</v>
      </c>
      <c r="E64" s="137">
        <v>5</v>
      </c>
      <c r="F64" s="137" t="s">
        <v>52</v>
      </c>
    </row>
    <row r="65" spans="1:6" x14ac:dyDescent="0.2">
      <c r="A65" s="137" t="s">
        <v>108</v>
      </c>
      <c r="B65" s="137"/>
      <c r="C65" s="137"/>
      <c r="D65" s="137"/>
      <c r="E65" s="137"/>
      <c r="F65" s="137"/>
    </row>
    <row r="66" spans="1:6" x14ac:dyDescent="0.2">
      <c r="A66" s="137" t="s">
        <v>257</v>
      </c>
      <c r="B66" s="137" t="s">
        <v>258</v>
      </c>
      <c r="C66" s="137" t="s">
        <v>52</v>
      </c>
      <c r="D66" s="137"/>
      <c r="E66" s="137"/>
      <c r="F66" s="137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6"/>
  <sheetViews>
    <sheetView workbookViewId="0">
      <pane ySplit="1" topLeftCell="A28" activePane="bottomLeft" state="frozen"/>
      <selection pane="bottomLeft" activeCell="E64" sqref="E64"/>
    </sheetView>
  </sheetViews>
  <sheetFormatPr baseColWidth="10" defaultColWidth="10.83203125" defaultRowHeight="15" x14ac:dyDescent="0.2"/>
  <cols>
    <col min="2" max="2" width="38.83203125" customWidth="1"/>
    <col min="3" max="3" width="0" hidden="1" customWidth="1"/>
  </cols>
  <sheetData>
    <row r="1" spans="1:7" x14ac:dyDescent="0.2">
      <c r="A1" s="137" t="s">
        <v>170</v>
      </c>
      <c r="B1" s="137" t="s">
        <v>171</v>
      </c>
      <c r="C1" s="137" t="s">
        <v>172</v>
      </c>
      <c r="D1" s="137" t="s">
        <v>173</v>
      </c>
      <c r="E1" s="137" t="s">
        <v>259</v>
      </c>
      <c r="F1" s="137" t="s">
        <v>260</v>
      </c>
    </row>
    <row r="2" spans="1:7" x14ac:dyDescent="0.2">
      <c r="A2" s="137" t="s">
        <v>176</v>
      </c>
      <c r="B2" s="137"/>
      <c r="C2" s="137"/>
      <c r="D2" s="137"/>
      <c r="E2" s="137"/>
      <c r="F2" s="137"/>
    </row>
    <row r="3" spans="1:7" x14ac:dyDescent="0.2">
      <c r="A3" s="137" t="s">
        <v>177</v>
      </c>
      <c r="B3" s="137"/>
      <c r="C3" s="137"/>
      <c r="D3" s="137"/>
      <c r="E3" s="137"/>
      <c r="F3" s="137"/>
    </row>
    <row r="4" spans="1:7" x14ac:dyDescent="0.2">
      <c r="A4" s="137" t="s">
        <v>178</v>
      </c>
      <c r="B4" s="137"/>
      <c r="C4" s="137" t="s">
        <v>179</v>
      </c>
      <c r="D4" s="137">
        <v>159</v>
      </c>
      <c r="E4" s="137">
        <v>170</v>
      </c>
      <c r="F4" s="137">
        <v>170</v>
      </c>
      <c r="G4" s="137" t="s">
        <v>63</v>
      </c>
    </row>
    <row r="5" spans="1:7" x14ac:dyDescent="0.2">
      <c r="A5" s="137" t="s">
        <v>180</v>
      </c>
      <c r="B5" s="137"/>
      <c r="C5" s="137" t="s">
        <v>179</v>
      </c>
      <c r="D5" s="137">
        <v>159</v>
      </c>
      <c r="E5" s="137">
        <v>168</v>
      </c>
      <c r="F5" s="137">
        <v>168</v>
      </c>
      <c r="G5" s="137" t="s">
        <v>63</v>
      </c>
    </row>
    <row r="6" spans="1:7" x14ac:dyDescent="0.2">
      <c r="A6" s="137" t="s">
        <v>181</v>
      </c>
      <c r="B6" s="137"/>
      <c r="C6" s="137"/>
      <c r="D6" s="137"/>
      <c r="E6" s="137"/>
      <c r="F6" s="137"/>
      <c r="G6" s="137"/>
    </row>
    <row r="7" spans="1:7" x14ac:dyDescent="0.2">
      <c r="A7" s="137" t="s">
        <v>182</v>
      </c>
      <c r="B7" s="137"/>
      <c r="C7" s="137" t="s">
        <v>183</v>
      </c>
      <c r="D7" s="137">
        <v>1</v>
      </c>
      <c r="E7" s="137">
        <v>1</v>
      </c>
      <c r="F7" s="137">
        <v>1</v>
      </c>
      <c r="G7" s="137" t="s">
        <v>63</v>
      </c>
    </row>
    <row r="8" spans="1:7" x14ac:dyDescent="0.2">
      <c r="A8" s="137" t="s">
        <v>184</v>
      </c>
      <c r="B8" s="137"/>
      <c r="C8" s="137" t="s">
        <v>183</v>
      </c>
      <c r="D8" s="137">
        <v>1</v>
      </c>
      <c r="E8" s="137">
        <v>1</v>
      </c>
      <c r="F8" s="137">
        <v>1</v>
      </c>
      <c r="G8" s="137" t="s">
        <v>63</v>
      </c>
    </row>
    <row r="9" spans="1:7" x14ac:dyDescent="0.2">
      <c r="A9" s="137" t="s">
        <v>185</v>
      </c>
      <c r="B9" s="137"/>
      <c r="C9" s="137" t="s">
        <v>186</v>
      </c>
      <c r="D9" s="137">
        <v>4.05</v>
      </c>
      <c r="E9" s="137">
        <v>20</v>
      </c>
      <c r="F9" s="137">
        <v>20</v>
      </c>
      <c r="G9" s="137" t="s">
        <v>59</v>
      </c>
    </row>
    <row r="10" spans="1:7" x14ac:dyDescent="0.2">
      <c r="A10" s="137" t="s">
        <v>187</v>
      </c>
      <c r="B10" s="137"/>
      <c r="C10" s="137" t="s">
        <v>188</v>
      </c>
      <c r="D10" s="137">
        <v>47</v>
      </c>
      <c r="E10" s="137">
        <v>57</v>
      </c>
      <c r="F10" s="137">
        <v>57</v>
      </c>
      <c r="G10" s="137" t="s">
        <v>63</v>
      </c>
    </row>
    <row r="11" spans="1:7" x14ac:dyDescent="0.2">
      <c r="A11" s="137" t="s">
        <v>261</v>
      </c>
      <c r="B11" s="137"/>
      <c r="C11" s="137" t="s">
        <v>188</v>
      </c>
      <c r="D11" s="137">
        <v>280</v>
      </c>
      <c r="E11" s="137">
        <v>331</v>
      </c>
      <c r="F11" s="137">
        <v>333</v>
      </c>
      <c r="G11" s="137" t="s">
        <v>63</v>
      </c>
    </row>
    <row r="12" spans="1:7" x14ac:dyDescent="0.2">
      <c r="A12" s="137" t="s">
        <v>190</v>
      </c>
      <c r="B12" s="137"/>
      <c r="C12" s="137" t="s">
        <v>188</v>
      </c>
      <c r="D12" s="137">
        <v>2</v>
      </c>
      <c r="E12" s="137">
        <v>3</v>
      </c>
      <c r="F12" s="137">
        <v>3</v>
      </c>
      <c r="G12" s="137" t="s">
        <v>63</v>
      </c>
    </row>
    <row r="13" spans="1:7" x14ac:dyDescent="0.2">
      <c r="A13" s="137" t="s">
        <v>191</v>
      </c>
      <c r="B13" s="137"/>
      <c r="C13" s="137"/>
      <c r="D13" s="137"/>
      <c r="E13" s="137"/>
      <c r="F13" s="137"/>
      <c r="G13" s="137"/>
    </row>
    <row r="14" spans="1:7" x14ac:dyDescent="0.2">
      <c r="A14" s="137" t="s">
        <v>262</v>
      </c>
      <c r="B14" s="137"/>
      <c r="C14" s="137" t="s">
        <v>193</v>
      </c>
      <c r="D14" s="137">
        <v>8.73</v>
      </c>
      <c r="E14" s="137">
        <v>10.28</v>
      </c>
      <c r="F14" s="137">
        <v>10.27</v>
      </c>
      <c r="G14" s="137" t="s">
        <v>59</v>
      </c>
    </row>
    <row r="15" spans="1:7" x14ac:dyDescent="0.2">
      <c r="A15" s="137" t="s">
        <v>263</v>
      </c>
      <c r="B15" s="137"/>
      <c r="C15" s="137" t="s">
        <v>195</v>
      </c>
      <c r="D15" s="137">
        <v>8.4499999999999993</v>
      </c>
      <c r="E15" s="137">
        <v>-204.38</v>
      </c>
      <c r="F15" s="137">
        <v>-204</v>
      </c>
      <c r="G15" s="137" t="s">
        <v>59</v>
      </c>
    </row>
    <row r="16" spans="1:7" x14ac:dyDescent="0.2">
      <c r="A16" s="137" t="s">
        <v>196</v>
      </c>
      <c r="B16" s="137"/>
      <c r="C16" s="137"/>
      <c r="D16" s="137"/>
      <c r="E16" s="137"/>
      <c r="F16" s="137"/>
      <c r="G16" s="137"/>
    </row>
    <row r="17" spans="1:7" x14ac:dyDescent="0.2">
      <c r="A17" s="137" t="s">
        <v>197</v>
      </c>
      <c r="B17" s="137"/>
      <c r="C17" s="137"/>
      <c r="D17" s="137"/>
      <c r="E17" s="137"/>
      <c r="F17" s="137"/>
      <c r="G17" s="137"/>
    </row>
    <row r="18" spans="1:7" x14ac:dyDescent="0.2">
      <c r="A18" s="137" t="s">
        <v>198</v>
      </c>
      <c r="B18" s="137"/>
      <c r="C18" s="137" t="s">
        <v>199</v>
      </c>
      <c r="D18" s="137">
        <v>85</v>
      </c>
      <c r="E18" s="137">
        <v>93.04</v>
      </c>
      <c r="F18" s="137">
        <v>93.04</v>
      </c>
      <c r="G18" s="137" t="s">
        <v>71</v>
      </c>
    </row>
    <row r="19" spans="1:7" x14ac:dyDescent="0.2">
      <c r="A19" s="137" t="s">
        <v>200</v>
      </c>
      <c r="B19" s="137"/>
      <c r="C19" s="137" t="s">
        <v>199</v>
      </c>
      <c r="D19" s="137">
        <v>85</v>
      </c>
      <c r="E19" s="137">
        <v>93.22</v>
      </c>
      <c r="F19" s="137">
        <v>93.22</v>
      </c>
      <c r="G19" s="137" t="s">
        <v>71</v>
      </c>
    </row>
    <row r="20" spans="1:7" x14ac:dyDescent="0.2">
      <c r="A20" s="137" t="s">
        <v>201</v>
      </c>
      <c r="B20" s="137"/>
      <c r="C20" s="137" t="s">
        <v>202</v>
      </c>
      <c r="D20" s="137">
        <v>85</v>
      </c>
      <c r="E20" s="137">
        <v>83.1</v>
      </c>
      <c r="F20" s="137">
        <v>83.1</v>
      </c>
      <c r="G20" s="137" t="s">
        <v>71</v>
      </c>
    </row>
    <row r="21" spans="1:7" x14ac:dyDescent="0.2">
      <c r="A21" s="137" t="s">
        <v>203</v>
      </c>
      <c r="B21" s="137"/>
      <c r="C21" s="137" t="s">
        <v>199</v>
      </c>
      <c r="D21" s="137">
        <v>85</v>
      </c>
      <c r="E21" s="137">
        <v>93.54</v>
      </c>
      <c r="F21" s="137">
        <v>93.54</v>
      </c>
      <c r="G21" s="137" t="s">
        <v>71</v>
      </c>
    </row>
    <row r="22" spans="1:7" x14ac:dyDescent="0.2">
      <c r="A22" s="137" t="s">
        <v>204</v>
      </c>
      <c r="B22" s="137"/>
      <c r="C22" s="137" t="s">
        <v>199</v>
      </c>
      <c r="D22" s="137">
        <v>85</v>
      </c>
      <c r="E22" s="137">
        <v>93.89</v>
      </c>
      <c r="F22" s="137">
        <v>93.89</v>
      </c>
      <c r="G22" s="137" t="s">
        <v>71</v>
      </c>
    </row>
    <row r="23" spans="1:7" x14ac:dyDescent="0.2">
      <c r="A23" s="137" t="s">
        <v>205</v>
      </c>
      <c r="B23" s="137"/>
      <c r="C23" s="137" t="s">
        <v>206</v>
      </c>
      <c r="D23" s="137">
        <v>85</v>
      </c>
      <c r="E23" s="137">
        <v>99.51</v>
      </c>
      <c r="F23" s="137">
        <v>99.51</v>
      </c>
      <c r="G23" s="137" t="s">
        <v>71</v>
      </c>
    </row>
    <row r="24" spans="1:7" x14ac:dyDescent="0.2">
      <c r="A24" s="137" t="s">
        <v>207</v>
      </c>
      <c r="B24" s="137"/>
      <c r="C24" s="137" t="s">
        <v>199</v>
      </c>
      <c r="D24" s="137">
        <v>85</v>
      </c>
      <c r="E24" s="137">
        <v>100</v>
      </c>
      <c r="F24" s="137">
        <v>100</v>
      </c>
      <c r="G24" s="137" t="s">
        <v>71</v>
      </c>
    </row>
    <row r="25" spans="1:7" x14ac:dyDescent="0.2">
      <c r="A25" s="137" t="s">
        <v>208</v>
      </c>
      <c r="B25" s="137"/>
      <c r="C25" s="137" t="s">
        <v>199</v>
      </c>
      <c r="D25" s="137">
        <v>85</v>
      </c>
      <c r="E25" s="137">
        <v>100</v>
      </c>
      <c r="F25" s="137">
        <v>100</v>
      </c>
      <c r="G25" s="137" t="s">
        <v>71</v>
      </c>
    </row>
    <row r="26" spans="1:7" x14ac:dyDescent="0.2">
      <c r="A26" s="137" t="s">
        <v>209</v>
      </c>
      <c r="B26" s="137"/>
      <c r="C26" s="137" t="s">
        <v>206</v>
      </c>
      <c r="D26" s="137">
        <v>85</v>
      </c>
      <c r="E26" s="137">
        <v>77.010000000000005</v>
      </c>
      <c r="F26" s="137">
        <v>87.54</v>
      </c>
      <c r="G26" s="137" t="s">
        <v>71</v>
      </c>
    </row>
    <row r="27" spans="1:7" x14ac:dyDescent="0.2">
      <c r="A27" s="137" t="s">
        <v>210</v>
      </c>
      <c r="B27" s="137"/>
      <c r="C27" s="137" t="s">
        <v>199</v>
      </c>
      <c r="D27" s="137">
        <v>85</v>
      </c>
      <c r="E27" s="137">
        <v>99.1</v>
      </c>
      <c r="F27" s="137">
        <v>95.32</v>
      </c>
      <c r="G27" s="137" t="s">
        <v>71</v>
      </c>
    </row>
    <row r="28" spans="1:7" x14ac:dyDescent="0.2">
      <c r="A28" s="137" t="s">
        <v>211</v>
      </c>
      <c r="B28" s="137"/>
      <c r="C28" s="137" t="s">
        <v>199</v>
      </c>
      <c r="D28" s="137">
        <v>85</v>
      </c>
      <c r="E28" s="137">
        <v>100</v>
      </c>
      <c r="F28" s="137">
        <v>99.77</v>
      </c>
      <c r="G28" s="137" t="s">
        <v>71</v>
      </c>
    </row>
    <row r="29" spans="1:7" x14ac:dyDescent="0.2">
      <c r="A29" s="137" t="s">
        <v>212</v>
      </c>
      <c r="B29" s="137"/>
      <c r="C29" s="137" t="s">
        <v>213</v>
      </c>
      <c r="D29" s="137">
        <v>90</v>
      </c>
      <c r="E29" s="137">
        <v>91.14</v>
      </c>
      <c r="F29" s="137">
        <v>83.71</v>
      </c>
      <c r="G29" s="137" t="s">
        <v>71</v>
      </c>
    </row>
    <row r="30" spans="1:7" x14ac:dyDescent="0.2">
      <c r="A30" s="137" t="s">
        <v>214</v>
      </c>
      <c r="B30" s="137"/>
      <c r="C30" s="137"/>
      <c r="D30" s="137"/>
      <c r="E30" s="137"/>
      <c r="F30" s="137"/>
      <c r="G30" s="137"/>
    </row>
    <row r="31" spans="1:7" x14ac:dyDescent="0.2">
      <c r="A31" s="137" t="s">
        <v>215</v>
      </c>
      <c r="B31" s="137"/>
      <c r="C31" s="137" t="s">
        <v>216</v>
      </c>
      <c r="D31" s="137">
        <v>90</v>
      </c>
      <c r="E31" s="137">
        <v>93.04</v>
      </c>
      <c r="F31" s="137">
        <v>93.04</v>
      </c>
      <c r="G31" s="137" t="s">
        <v>71</v>
      </c>
    </row>
    <row r="32" spans="1:7" x14ac:dyDescent="0.2">
      <c r="A32" s="137" t="s">
        <v>217</v>
      </c>
      <c r="B32" s="137"/>
      <c r="C32" s="137" t="s">
        <v>216</v>
      </c>
      <c r="D32" s="137">
        <v>90</v>
      </c>
      <c r="E32" s="137">
        <v>93.22</v>
      </c>
      <c r="F32" s="137">
        <v>93.22</v>
      </c>
      <c r="G32" s="137" t="s">
        <v>71</v>
      </c>
    </row>
    <row r="33" spans="1:9" x14ac:dyDescent="0.2">
      <c r="A33" s="137" t="s">
        <v>218</v>
      </c>
      <c r="B33" s="137"/>
      <c r="C33" s="137" t="s">
        <v>219</v>
      </c>
      <c r="D33" s="137">
        <v>90</v>
      </c>
      <c r="E33" s="137">
        <v>83.1</v>
      </c>
      <c r="F33" s="137">
        <v>83.1</v>
      </c>
      <c r="G33" s="137" t="s">
        <v>71</v>
      </c>
    </row>
    <row r="34" spans="1:9" x14ac:dyDescent="0.2">
      <c r="A34" s="137" t="s">
        <v>220</v>
      </c>
      <c r="B34" s="137"/>
      <c r="C34" s="137" t="s">
        <v>216</v>
      </c>
      <c r="D34" s="137">
        <v>90</v>
      </c>
      <c r="E34" s="137">
        <v>100</v>
      </c>
      <c r="F34" s="137">
        <v>98.54</v>
      </c>
      <c r="G34" s="137" t="s">
        <v>71</v>
      </c>
    </row>
    <row r="35" spans="1:9" x14ac:dyDescent="0.2">
      <c r="A35" s="137" t="s">
        <v>221</v>
      </c>
      <c r="B35" s="137"/>
      <c r="C35" s="137" t="s">
        <v>216</v>
      </c>
      <c r="D35" s="137">
        <v>90</v>
      </c>
      <c r="E35" s="137">
        <v>100</v>
      </c>
      <c r="F35" s="137">
        <v>100</v>
      </c>
      <c r="G35" s="137" t="s">
        <v>71</v>
      </c>
    </row>
    <row r="36" spans="1:9" x14ac:dyDescent="0.2">
      <c r="A36" s="137" t="s">
        <v>222</v>
      </c>
      <c r="B36" s="137"/>
      <c r="C36" s="137" t="s">
        <v>219</v>
      </c>
      <c r="D36" s="137">
        <v>90</v>
      </c>
      <c r="E36" s="137">
        <v>100</v>
      </c>
      <c r="F36" s="137">
        <v>99.18</v>
      </c>
      <c r="G36" s="137" t="s">
        <v>71</v>
      </c>
    </row>
    <row r="37" spans="1:9" x14ac:dyDescent="0.2">
      <c r="A37" s="137" t="s">
        <v>223</v>
      </c>
      <c r="B37" s="137"/>
      <c r="C37" s="137" t="s">
        <v>216</v>
      </c>
      <c r="D37" s="137">
        <v>90</v>
      </c>
      <c r="E37" s="137">
        <v>100</v>
      </c>
      <c r="F37" s="137">
        <v>100</v>
      </c>
      <c r="G37" s="137" t="s">
        <v>71</v>
      </c>
    </row>
    <row r="38" spans="1:9" x14ac:dyDescent="0.2">
      <c r="A38" s="137" t="s">
        <v>224</v>
      </c>
      <c r="B38" s="137"/>
      <c r="C38" s="137" t="s">
        <v>216</v>
      </c>
      <c r="D38" s="137">
        <v>90</v>
      </c>
      <c r="E38" s="137">
        <v>100</v>
      </c>
      <c r="F38" s="137">
        <v>100</v>
      </c>
      <c r="G38" s="137" t="s">
        <v>71</v>
      </c>
    </row>
    <row r="39" spans="1:9" x14ac:dyDescent="0.2">
      <c r="A39" s="137" t="s">
        <v>225</v>
      </c>
      <c r="B39" s="137"/>
      <c r="C39" s="137" t="s">
        <v>219</v>
      </c>
      <c r="D39" s="137">
        <v>90</v>
      </c>
      <c r="E39" s="137">
        <v>100</v>
      </c>
      <c r="F39" s="137">
        <v>99.18</v>
      </c>
      <c r="G39" s="137" t="s">
        <v>71</v>
      </c>
    </row>
    <row r="40" spans="1:9" x14ac:dyDescent="0.2">
      <c r="A40" s="137" t="s">
        <v>226</v>
      </c>
      <c r="B40" s="137"/>
      <c r="C40" s="137" t="s">
        <v>219</v>
      </c>
      <c r="D40" s="137">
        <v>90</v>
      </c>
      <c r="E40" s="137">
        <v>100</v>
      </c>
      <c r="F40" s="137">
        <v>99.71</v>
      </c>
      <c r="G40" s="137" t="s">
        <v>71</v>
      </c>
    </row>
    <row r="41" spans="1:9" x14ac:dyDescent="0.2">
      <c r="A41" s="137" t="s">
        <v>227</v>
      </c>
      <c r="B41" s="137"/>
      <c r="C41" s="137"/>
      <c r="D41" s="137"/>
      <c r="E41" s="137"/>
      <c r="F41" s="137"/>
      <c r="G41" s="137"/>
    </row>
    <row r="42" spans="1:9" x14ac:dyDescent="0.2">
      <c r="A42" s="137" t="s">
        <v>228</v>
      </c>
      <c r="B42" s="137"/>
      <c r="C42" s="137" t="s">
        <v>229</v>
      </c>
      <c r="D42" s="137">
        <v>98.5</v>
      </c>
      <c r="E42" s="137">
        <v>100</v>
      </c>
      <c r="F42" s="137">
        <v>100</v>
      </c>
      <c r="G42" s="137" t="s">
        <v>71</v>
      </c>
      <c r="I42" s="137"/>
    </row>
    <row r="43" spans="1:9" x14ac:dyDescent="0.2">
      <c r="A43" s="137" t="s">
        <v>230</v>
      </c>
      <c r="B43" s="137"/>
      <c r="C43" s="137" t="s">
        <v>229</v>
      </c>
      <c r="D43" s="137">
        <v>98.5</v>
      </c>
      <c r="E43" s="137">
        <v>100</v>
      </c>
      <c r="F43" s="137">
        <v>100</v>
      </c>
      <c r="G43" s="137" t="s">
        <v>71</v>
      </c>
      <c r="I43" s="137"/>
    </row>
    <row r="44" spans="1:9" x14ac:dyDescent="0.2">
      <c r="A44" s="137" t="s">
        <v>231</v>
      </c>
      <c r="B44" s="137"/>
      <c r="C44" s="137" t="s">
        <v>232</v>
      </c>
      <c r="D44" s="137">
        <v>98.5</v>
      </c>
      <c r="E44" s="137">
        <v>99.04</v>
      </c>
      <c r="F44" s="137">
        <v>99.04</v>
      </c>
      <c r="G44" s="137" t="s">
        <v>71</v>
      </c>
      <c r="I44" s="137"/>
    </row>
    <row r="45" spans="1:9" x14ac:dyDescent="0.2">
      <c r="A45" s="137" t="s">
        <v>233</v>
      </c>
      <c r="B45" s="137"/>
      <c r="C45" s="137" t="s">
        <v>229</v>
      </c>
      <c r="D45" s="137">
        <v>98.5</v>
      </c>
      <c r="E45" s="137">
        <v>100</v>
      </c>
      <c r="F45" s="137">
        <v>100</v>
      </c>
      <c r="G45" s="137" t="s">
        <v>71</v>
      </c>
      <c r="I45" s="137"/>
    </row>
    <row r="46" spans="1:9" x14ac:dyDescent="0.2">
      <c r="A46" s="137" t="s">
        <v>234</v>
      </c>
      <c r="B46" s="137"/>
      <c r="C46" s="137" t="s">
        <v>229</v>
      </c>
      <c r="D46" s="137">
        <v>98.5</v>
      </c>
      <c r="E46" s="137">
        <v>100</v>
      </c>
      <c r="F46" s="137">
        <v>100</v>
      </c>
      <c r="G46" s="137" t="s">
        <v>71</v>
      </c>
      <c r="I46" s="137"/>
    </row>
    <row r="47" spans="1:9" x14ac:dyDescent="0.2">
      <c r="A47" s="137" t="s">
        <v>235</v>
      </c>
      <c r="B47" s="137"/>
      <c r="C47" s="137" t="s">
        <v>232</v>
      </c>
      <c r="D47" s="137">
        <v>98.5</v>
      </c>
      <c r="E47" s="137">
        <v>98.75</v>
      </c>
      <c r="F47" s="137">
        <v>98.75</v>
      </c>
      <c r="G47" s="137" t="s">
        <v>71</v>
      </c>
      <c r="I47" s="137"/>
    </row>
    <row r="48" spans="1:9" x14ac:dyDescent="0.2">
      <c r="A48" s="137" t="s">
        <v>236</v>
      </c>
      <c r="B48" s="137"/>
      <c r="C48" s="137" t="s">
        <v>229</v>
      </c>
      <c r="D48" s="137">
        <v>98.5</v>
      </c>
      <c r="E48" s="137">
        <v>100</v>
      </c>
      <c r="F48" s="137">
        <v>98.54</v>
      </c>
      <c r="G48" s="137" t="s">
        <v>71</v>
      </c>
      <c r="I48" s="137"/>
    </row>
    <row r="49" spans="1:9" x14ac:dyDescent="0.2">
      <c r="A49" s="137" t="s">
        <v>237</v>
      </c>
      <c r="B49" s="137"/>
      <c r="C49" s="137" t="s">
        <v>229</v>
      </c>
      <c r="D49" s="137">
        <v>98.5</v>
      </c>
      <c r="E49" s="137">
        <v>100</v>
      </c>
      <c r="F49" s="137">
        <v>100</v>
      </c>
      <c r="G49" s="137" t="s">
        <v>71</v>
      </c>
      <c r="I49" s="137"/>
    </row>
    <row r="50" spans="1:9" x14ac:dyDescent="0.2">
      <c r="A50" s="137" t="s">
        <v>238</v>
      </c>
      <c r="B50" s="137"/>
      <c r="C50" s="137" t="s">
        <v>232</v>
      </c>
      <c r="D50" s="137">
        <v>98.5</v>
      </c>
      <c r="E50" s="137">
        <v>100</v>
      </c>
      <c r="F50" s="137">
        <v>99.18</v>
      </c>
      <c r="G50" s="137" t="s">
        <v>71</v>
      </c>
      <c r="I50" s="137"/>
    </row>
    <row r="51" spans="1:9" x14ac:dyDescent="0.2">
      <c r="A51" s="137" t="s">
        <v>239</v>
      </c>
      <c r="B51" s="137"/>
      <c r="C51" s="137" t="s">
        <v>229</v>
      </c>
      <c r="D51" s="137">
        <v>98.5</v>
      </c>
      <c r="E51" s="137">
        <v>100</v>
      </c>
      <c r="F51" s="137">
        <v>100</v>
      </c>
      <c r="G51" s="137" t="s">
        <v>71</v>
      </c>
      <c r="I51" s="137"/>
    </row>
    <row r="52" spans="1:9" x14ac:dyDescent="0.2">
      <c r="A52" s="137" t="s">
        <v>240</v>
      </c>
      <c r="B52" s="137"/>
      <c r="C52" s="137" t="s">
        <v>229</v>
      </c>
      <c r="D52" s="137">
        <v>98.5</v>
      </c>
      <c r="E52" s="137">
        <v>100</v>
      </c>
      <c r="F52" s="137">
        <v>100</v>
      </c>
      <c r="G52" s="137" t="s">
        <v>71</v>
      </c>
      <c r="I52" s="137"/>
    </row>
    <row r="53" spans="1:9" x14ac:dyDescent="0.2">
      <c r="A53" s="137" t="s">
        <v>264</v>
      </c>
      <c r="B53" s="137"/>
      <c r="C53" s="137" t="s">
        <v>242</v>
      </c>
      <c r="D53" s="137">
        <v>98.5</v>
      </c>
      <c r="E53" s="137">
        <v>100</v>
      </c>
      <c r="F53" s="137">
        <v>96.04</v>
      </c>
      <c r="G53" s="137" t="s">
        <v>71</v>
      </c>
      <c r="I53" s="137"/>
    </row>
    <row r="54" spans="1:9" x14ac:dyDescent="0.2">
      <c r="A54" s="137" t="s">
        <v>265</v>
      </c>
      <c r="B54" s="137"/>
      <c r="C54" s="137" t="s">
        <v>244</v>
      </c>
      <c r="D54" s="137">
        <v>80</v>
      </c>
      <c r="E54" s="137">
        <v>99.08</v>
      </c>
      <c r="F54" s="137">
        <v>97.43</v>
      </c>
      <c r="G54" s="137" t="s">
        <v>71</v>
      </c>
      <c r="I54" s="137"/>
    </row>
    <row r="55" spans="1:9" x14ac:dyDescent="0.2">
      <c r="A55" s="137" t="s">
        <v>266</v>
      </c>
      <c r="B55" s="137"/>
      <c r="C55" s="137" t="s">
        <v>246</v>
      </c>
      <c r="D55" s="137">
        <v>7.02</v>
      </c>
      <c r="E55" s="137">
        <v>6.78</v>
      </c>
      <c r="F55" s="137">
        <v>6.78</v>
      </c>
      <c r="G55" s="137" t="s">
        <v>59</v>
      </c>
      <c r="I55" s="137"/>
    </row>
    <row r="56" spans="1:9" x14ac:dyDescent="0.2">
      <c r="A56" s="137" t="s">
        <v>267</v>
      </c>
      <c r="B56" s="137"/>
      <c r="C56" s="137" t="s">
        <v>244</v>
      </c>
      <c r="D56" s="137">
        <v>20.95</v>
      </c>
      <c r="E56" s="137">
        <v>9.68</v>
      </c>
      <c r="F56" s="137">
        <v>9.68</v>
      </c>
      <c r="G56" s="137" t="s">
        <v>59</v>
      </c>
    </row>
    <row r="57" spans="1:9" x14ac:dyDescent="0.2">
      <c r="A57" s="137" t="s">
        <v>268</v>
      </c>
      <c r="B57" s="137"/>
      <c r="C57" s="137" t="s">
        <v>188</v>
      </c>
      <c r="D57" s="137">
        <v>8.2100000000000009</v>
      </c>
      <c r="E57" s="137">
        <v>87.3</v>
      </c>
      <c r="F57" s="137">
        <v>87.3</v>
      </c>
      <c r="G57" s="137" t="s">
        <v>59</v>
      </c>
    </row>
    <row r="58" spans="1:9" x14ac:dyDescent="0.2">
      <c r="A58" s="137" t="s">
        <v>269</v>
      </c>
      <c r="B58" s="137"/>
      <c r="C58" s="137" t="s">
        <v>250</v>
      </c>
      <c r="D58" s="137">
        <v>3.92</v>
      </c>
      <c r="E58" s="137">
        <v>3.45</v>
      </c>
      <c r="F58" s="137">
        <v>3.45</v>
      </c>
      <c r="G58" s="137" t="s">
        <v>59</v>
      </c>
    </row>
    <row r="59" spans="1:9" x14ac:dyDescent="0.2">
      <c r="A59" s="137" t="s">
        <v>270</v>
      </c>
      <c r="B59" s="137"/>
      <c r="C59" s="137"/>
      <c r="D59" s="137"/>
      <c r="E59" s="137">
        <v>2.4</v>
      </c>
      <c r="F59" s="137">
        <v>2.4</v>
      </c>
      <c r="G59" s="137" t="s">
        <v>59</v>
      </c>
    </row>
    <row r="60" spans="1:9" x14ac:dyDescent="0.2">
      <c r="A60" s="137" t="s">
        <v>271</v>
      </c>
      <c r="B60" s="137"/>
      <c r="C60" s="137"/>
      <c r="D60" s="137"/>
      <c r="E60" s="137">
        <v>1.06</v>
      </c>
      <c r="F60" s="137">
        <v>1.06</v>
      </c>
      <c r="G60" s="137" t="s">
        <v>59</v>
      </c>
    </row>
    <row r="61" spans="1:9" x14ac:dyDescent="0.2">
      <c r="A61" s="137" t="s">
        <v>272</v>
      </c>
      <c r="B61" s="137"/>
      <c r="C61" s="137" t="s">
        <v>254</v>
      </c>
      <c r="D61" s="137">
        <v>65</v>
      </c>
      <c r="E61" s="137">
        <v>61.05</v>
      </c>
      <c r="F61" s="137">
        <v>64.11</v>
      </c>
      <c r="G61" s="137" t="s">
        <v>71</v>
      </c>
    </row>
    <row r="62" spans="1:9" x14ac:dyDescent="0.2">
      <c r="A62" s="137" t="s">
        <v>108</v>
      </c>
      <c r="B62" s="137"/>
      <c r="C62" s="137"/>
      <c r="D62" s="137"/>
      <c r="E62" s="137"/>
      <c r="F62" s="137"/>
      <c r="G62" s="137"/>
    </row>
    <row r="63" spans="1:9" x14ac:dyDescent="0.2">
      <c r="A63" s="137" t="s">
        <v>255</v>
      </c>
      <c r="B63" s="137"/>
      <c r="C63" s="137"/>
      <c r="D63" s="137"/>
      <c r="E63" s="137"/>
      <c r="F63" s="137"/>
      <c r="G63" s="137"/>
    </row>
    <row r="64" spans="1:9" x14ac:dyDescent="0.2">
      <c r="A64" s="137" t="s">
        <v>256</v>
      </c>
      <c r="B64" s="137"/>
      <c r="C64" s="137" t="s">
        <v>188</v>
      </c>
      <c r="D64" s="137">
        <v>5</v>
      </c>
      <c r="E64" s="137"/>
      <c r="F64" s="137"/>
      <c r="G64" s="137" t="s">
        <v>52</v>
      </c>
    </row>
    <row r="65" spans="1:6" x14ac:dyDescent="0.2">
      <c r="A65" s="137" t="s">
        <v>108</v>
      </c>
      <c r="B65" s="137"/>
      <c r="C65" s="137"/>
      <c r="D65" s="137"/>
      <c r="E65" s="137"/>
      <c r="F65" s="137"/>
    </row>
    <row r="66" spans="1:6" x14ac:dyDescent="0.2">
      <c r="A66" s="137" t="s">
        <v>257</v>
      </c>
      <c r="B66" s="137" t="s">
        <v>258</v>
      </c>
      <c r="C66" s="137" t="s">
        <v>52</v>
      </c>
      <c r="D66" s="137"/>
      <c r="E66" s="137"/>
      <c r="F66" s="13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ภิชฌา</vt:lpstr>
      <vt:lpstr>พรพงศ์</vt:lpstr>
      <vt:lpstr>พิราวรรณ</vt:lpstr>
      <vt:lpstr>ผลงานรวมทีม</vt:lpstr>
      <vt:lpstr>ผลงานรายเขต</vt:lpstr>
      <vt:lpstr>พรพงศ์!Print_Titles</vt:lpstr>
      <vt:lpstr>พิราวรรณ!Print_Titles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BAAC</dc:creator>
  <cp:keywords/>
  <dc:description/>
  <cp:lastModifiedBy>Pitcha Saithong</cp:lastModifiedBy>
  <cp:revision/>
  <dcterms:created xsi:type="dcterms:W3CDTF">2025-10-28T04:10:07Z</dcterms:created>
  <dcterms:modified xsi:type="dcterms:W3CDTF">2026-04-08T10:07:41Z</dcterms:modified>
  <cp:category/>
  <cp:contentStatus/>
</cp:coreProperties>
</file>